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נתונים" sheetId="1" r:id="rId1"/>
  </sheets>
  <calcPr calcId="152511"/>
</workbook>
</file>

<file path=xl/calcChain.xml><?xml version="1.0" encoding="utf-8"?>
<calcChain xmlns="http://schemas.openxmlformats.org/spreadsheetml/2006/main">
  <c r="GN26" i="1" l="1"/>
  <c r="GN25" i="1"/>
  <c r="GN24" i="1"/>
  <c r="GN23" i="1"/>
  <c r="GN22" i="1"/>
  <c r="GN21" i="1"/>
  <c r="GN20" i="1"/>
  <c r="GN19" i="1"/>
  <c r="GN18" i="1"/>
  <c r="GN17" i="1"/>
  <c r="GN16" i="1"/>
  <c r="GN15" i="1"/>
  <c r="GN14" i="1"/>
  <c r="GN13" i="1"/>
  <c r="GN12" i="1"/>
  <c r="GN11" i="1"/>
  <c r="GN10" i="1"/>
  <c r="GN9" i="1"/>
  <c r="GN8" i="1"/>
  <c r="GN7" i="1"/>
  <c r="GN6" i="1"/>
  <c r="GN5" i="1"/>
  <c r="GN4" i="1"/>
  <c r="GN3" i="1"/>
  <c r="GN2" i="1"/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" i="1"/>
</calcChain>
</file>

<file path=xl/sharedStrings.xml><?xml version="1.0" encoding="utf-8"?>
<sst xmlns="http://schemas.openxmlformats.org/spreadsheetml/2006/main" count="196" uniqueCount="196">
  <si>
    <t>מספר הכנסת</t>
  </si>
  <si>
    <t>תאריך הבחירות</t>
  </si>
  <si>
    <t>בעלי זכות הצבעה</t>
  </si>
  <si>
    <t>קולות פסולים</t>
  </si>
  <si>
    <t>מספר קולות</t>
  </si>
  <si>
    <t>אחוז החסימה</t>
  </si>
  <si>
    <t>מחל</t>
  </si>
  <si>
    <t>פה</t>
  </si>
  <si>
    <t>ט</t>
  </si>
  <si>
    <t>כן</t>
  </si>
  <si>
    <t>שס</t>
  </si>
  <si>
    <t>ג</t>
  </si>
  <si>
    <t>ל</t>
  </si>
  <si>
    <t>עם</t>
  </si>
  <si>
    <t>ום</t>
  </si>
  <si>
    <t>אמת</t>
  </si>
  <si>
    <t>מרצ</t>
  </si>
  <si>
    <t>ד</t>
  </si>
  <si>
    <t>ב</t>
  </si>
  <si>
    <t>אצ</t>
  </si>
  <si>
    <t>קץ</t>
  </si>
  <si>
    <t>יז</t>
  </si>
  <si>
    <t>צ</t>
  </si>
  <si>
    <t>ף</t>
  </si>
  <si>
    <t>ק</t>
  </si>
  <si>
    <t>ת</t>
  </si>
  <si>
    <t>ני</t>
  </si>
  <si>
    <t>קנ</t>
  </si>
  <si>
    <t>נק</t>
  </si>
  <si>
    <t>י</t>
  </si>
  <si>
    <t>קך</t>
  </si>
  <si>
    <t>נץ</t>
  </si>
  <si>
    <t>ץ</t>
  </si>
  <si>
    <t>רז</t>
  </si>
  <si>
    <t>ך</t>
  </si>
  <si>
    <t>ז</t>
  </si>
  <si>
    <t>קי</t>
  </si>
  <si>
    <t>יק</t>
  </si>
  <si>
    <t>נז</t>
  </si>
  <si>
    <t>נר</t>
  </si>
  <si>
    <t>זץ</t>
  </si>
  <si>
    <t>יץ</t>
  </si>
  <si>
    <t>נף</t>
  </si>
  <si>
    <t>ינ</t>
  </si>
  <si>
    <t>זך</t>
  </si>
  <si>
    <t>זנ</t>
  </si>
  <si>
    <t>ודעם</t>
  </si>
  <si>
    <t>ר</t>
  </si>
  <si>
    <t>ףז</t>
  </si>
  <si>
    <t>כך</t>
  </si>
  <si>
    <t>רנ</t>
  </si>
  <si>
    <t>רף</t>
  </si>
  <si>
    <t>נ</t>
  </si>
  <si>
    <t>כ</t>
  </si>
  <si>
    <t>צי</t>
  </si>
  <si>
    <t>יר</t>
  </si>
  <si>
    <t>צכ</t>
  </si>
  <si>
    <t>צף</t>
  </si>
  <si>
    <t>יף</t>
  </si>
  <si>
    <t>רק</t>
  </si>
  <si>
    <t>טב</t>
  </si>
  <si>
    <t>כף</t>
  </si>
  <si>
    <t>כי</t>
  </si>
  <si>
    <t>נך</t>
  </si>
  <si>
    <t>זכ</t>
  </si>
  <si>
    <t>צן</t>
  </si>
  <si>
    <t>זן</t>
  </si>
  <si>
    <t>דעם</t>
  </si>
  <si>
    <t>ן</t>
  </si>
  <si>
    <t>צק</t>
  </si>
  <si>
    <t>זי</t>
  </si>
  <si>
    <t>קף</t>
  </si>
  <si>
    <t>ףי</t>
  </si>
  <si>
    <t>ףץ</t>
  </si>
  <si>
    <t>קן</t>
  </si>
  <si>
    <t>ךק</t>
  </si>
  <si>
    <t>ףך</t>
  </si>
  <si>
    <t>ןך</t>
  </si>
  <si>
    <t>ףנ</t>
  </si>
  <si>
    <t>ןנ</t>
  </si>
  <si>
    <t>ץי</t>
  </si>
  <si>
    <t>ין</t>
  </si>
  <si>
    <t>ץז</t>
  </si>
  <si>
    <t>יך</t>
  </si>
  <si>
    <t>ע</t>
  </si>
  <si>
    <t>צפ</t>
  </si>
  <si>
    <t>ו</t>
  </si>
  <si>
    <t>פז</t>
  </si>
  <si>
    <t>הפ</t>
  </si>
  <si>
    <t>פנ</t>
  </si>
  <si>
    <t>פץ</t>
  </si>
  <si>
    <t>פ</t>
  </si>
  <si>
    <t>פי</t>
  </si>
  <si>
    <t>הק</t>
  </si>
  <si>
    <t>הי</t>
  </si>
  <si>
    <t>ה</t>
  </si>
  <si>
    <t>חי</t>
  </si>
  <si>
    <t>קפ</t>
  </si>
  <si>
    <t>פק</t>
  </si>
  <si>
    <t>ים</t>
  </si>
  <si>
    <t>אר</t>
  </si>
  <si>
    <t>נפ</t>
  </si>
  <si>
    <t>זה</t>
  </si>
  <si>
    <t>חץ</t>
  </si>
  <si>
    <t>יש</t>
  </si>
  <si>
    <t>קז</t>
  </si>
  <si>
    <t>כץ</t>
  </si>
  <si>
    <t>צה</t>
  </si>
  <si>
    <t>פכ</t>
  </si>
  <si>
    <t>ם</t>
  </si>
  <si>
    <t>יט</t>
  </si>
  <si>
    <t>הד</t>
  </si>
  <si>
    <t>רם</t>
  </si>
  <si>
    <t>קם</t>
  </si>
  <si>
    <t>פא</t>
  </si>
  <si>
    <t>תא</t>
  </si>
  <si>
    <t>דן</t>
  </si>
  <si>
    <t>יד</t>
  </si>
  <si>
    <t>קל</t>
  </si>
  <si>
    <t>נד</t>
  </si>
  <si>
    <t>דף</t>
  </si>
  <si>
    <t>נכ</t>
  </si>
  <si>
    <t>רצ</t>
  </si>
  <si>
    <t>מפם</t>
  </si>
  <si>
    <t>הן</t>
  </si>
  <si>
    <t>עץ</t>
  </si>
  <si>
    <t>קמע</t>
  </si>
  <si>
    <t>מי</t>
  </si>
  <si>
    <t>טע</t>
  </si>
  <si>
    <t>ענף</t>
  </si>
  <si>
    <t>טיף</t>
  </si>
  <si>
    <t>מעש</t>
  </si>
  <si>
    <t>זעמ</t>
  </si>
  <si>
    <t>יענ</t>
  </si>
  <si>
    <t>עד</t>
  </si>
  <si>
    <t>ס</t>
  </si>
  <si>
    <t>ש</t>
  </si>
  <si>
    <t>כט</t>
  </si>
  <si>
    <t>פש</t>
  </si>
  <si>
    <t>הס</t>
  </si>
  <si>
    <t>טס</t>
  </si>
  <si>
    <t>לע</t>
  </si>
  <si>
    <t>מ</t>
  </si>
  <si>
    <t>נס</t>
  </si>
  <si>
    <t>סז</t>
  </si>
  <si>
    <t>טי</t>
  </si>
  <si>
    <t>טז</t>
  </si>
  <si>
    <t>כה</t>
  </si>
  <si>
    <t>כנ</t>
  </si>
  <si>
    <t>ימ</t>
  </si>
  <si>
    <t>ספ</t>
  </si>
  <si>
    <t>חל טעמ</t>
  </si>
  <si>
    <t>גד</t>
  </si>
  <si>
    <t>רא</t>
  </si>
  <si>
    <t>עא</t>
  </si>
  <si>
    <t>מס</t>
  </si>
  <si>
    <t>יא</t>
  </si>
  <si>
    <t>ענ</t>
  </si>
  <si>
    <t>ער</t>
  </si>
  <si>
    <t>רה</t>
  </si>
  <si>
    <t>רס</t>
  </si>
  <si>
    <t>סנ</t>
  </si>
  <si>
    <t>חל</t>
  </si>
  <si>
    <t>עמ</t>
  </si>
  <si>
    <t>את</t>
  </si>
  <si>
    <t>כא</t>
  </si>
  <si>
    <t>א</t>
  </si>
  <si>
    <t>ח</t>
  </si>
  <si>
    <t>תו</t>
  </si>
  <si>
    <t>סש</t>
  </si>
  <si>
    <t>עט</t>
  </si>
  <si>
    <t>יס</t>
  </si>
  <si>
    <t>שת</t>
  </si>
  <si>
    <t>סר</t>
  </si>
  <si>
    <t>לש</t>
  </si>
  <si>
    <t>רט</t>
  </si>
  <si>
    <t>רי</t>
  </si>
  <si>
    <t>טש</t>
  </si>
  <si>
    <t>סצ</t>
  </si>
  <si>
    <t>צח</t>
  </si>
  <si>
    <t>טת</t>
  </si>
  <si>
    <t>יג</t>
  </si>
  <si>
    <t>טו</t>
  </si>
  <si>
    <t>יח</t>
  </si>
  <si>
    <t>פד</t>
  </si>
  <si>
    <t>אחוז הצבעה</t>
  </si>
  <si>
    <t>מספר קולות כשרים</t>
  </si>
  <si>
    <t>אחוז קולות פסולים</t>
  </si>
  <si>
    <t>קולות לאחוז חסימה</t>
  </si>
  <si>
    <t>מספר מפלגות</t>
  </si>
  <si>
    <t>מפלגות שעברו</t>
  </si>
  <si>
    <t>מפלגות שלא עברו</t>
  </si>
  <si>
    <t>מספר קולות מבוזבזים</t>
  </si>
  <si>
    <t>אחוז קולות מבוזבזים</t>
  </si>
  <si>
    <t>תאריך הקמת הממשלה</t>
  </si>
  <si>
    <t>ימים להקמת הממשלה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</si>
</sst>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 * #,##0.00_ ;_ * \-#,##0.00_ ;_ * &quot;-&quot;??_ ;_ @_ "/>
    <numFmt numFmtId="164" formatCode="_ * #,##0_ ;_ * \-#,##0_ ;_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4" fontId="2" fillId="0" borderId="0" xfId="0" applyNumberFormat="1" applyFont="1" applyBorder="1" applyAlignment="1">
      <alignment horizontal="center" vertical="center"/>
    </xf>
    <xf numFmtId="3" fontId="2" fillId="0" borderId="0" xfId="0" applyNumberFormat="1" applyFont="1" applyBorder="1" applyAlignment="1">
      <alignment horizontal="center" vertical="center"/>
    </xf>
    <xf numFmtId="10" fontId="2" fillId="0" borderId="5" xfId="1" applyNumberFormat="1" applyFont="1" applyBorder="1" applyAlignment="1">
      <alignment horizontal="center" vertical="center"/>
    </xf>
    <xf numFmtId="164" fontId="2" fillId="0" borderId="0" xfId="2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2" applyNumberFormat="1" applyFont="1" applyAlignment="1">
      <alignment horizontal="center" vertical="center"/>
    </xf>
    <xf numFmtId="3" fontId="2" fillId="0" borderId="0" xfId="2" applyNumberFormat="1" applyFont="1" applyAlignment="1">
      <alignment horizontal="center" vertical="center"/>
    </xf>
    <xf numFmtId="10" fontId="2" fillId="0" borderId="0" xfId="1" applyNumberFormat="1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14" fontId="2" fillId="4" borderId="0" xfId="0" applyNumberFormat="1" applyFont="1" applyFill="1" applyBorder="1" applyAlignment="1">
      <alignment horizontal="center" vertical="center"/>
    </xf>
    <xf numFmtId="3" fontId="2" fillId="4" borderId="0" xfId="0" applyNumberFormat="1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10" fontId="2" fillId="4" borderId="5" xfId="1" applyNumberFormat="1" applyFont="1" applyFill="1" applyBorder="1" applyAlignment="1">
      <alignment horizontal="center" vertical="center"/>
    </xf>
    <xf numFmtId="10" fontId="2" fillId="4" borderId="0" xfId="1" applyNumberFormat="1" applyFont="1" applyFill="1" applyBorder="1" applyAlignment="1">
      <alignment horizontal="center" vertical="center"/>
    </xf>
    <xf numFmtId="3" fontId="2" fillId="4" borderId="0" xfId="0" applyNumberFormat="1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3" fontId="2" fillId="0" borderId="5" xfId="0" applyNumberFormat="1" applyFont="1" applyBorder="1" applyAlignment="1">
      <alignment horizontal="center" vertical="center"/>
    </xf>
    <xf numFmtId="3" fontId="2" fillId="4" borderId="5" xfId="0" applyNumberFormat="1" applyFont="1" applyFill="1" applyBorder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4" fontId="2" fillId="4" borderId="0" xfId="0" applyNumberFormat="1" applyFont="1" applyFill="1" applyAlignment="1">
      <alignment horizontal="center" vertical="center"/>
    </xf>
    <xf numFmtId="14" fontId="2" fillId="0" borderId="0" xfId="0" applyNumberFormat="1" applyFont="1" applyFill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14"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N32"/>
  <sheetViews>
    <sheetView rightToLeft="1" tabSelected="1" workbookViewId="0">
      <pane xSplit="1" ySplit="1" topLeftCell="FZ2" activePane="bottomRight" state="frozen"/>
      <selection pane="topRight" activeCell="B1" sqref="B1"/>
      <selection pane="bottomLeft" activeCell="A2" sqref="A2"/>
      <selection pane="bottomRight" activeCell="GM5" sqref="GM5"/>
    </sheetView>
  </sheetViews>
  <sheetFormatPr defaultRowHeight="15.75" x14ac:dyDescent="0.25"/>
  <cols>
    <col min="1" max="1" width="12.42578125" style="1" bestFit="1" customWidth="1"/>
    <col min="2" max="2" width="14.28515625" style="1" bestFit="1" customWidth="1"/>
    <col min="3" max="3" width="16" style="1" bestFit="1" customWidth="1"/>
    <col min="4" max="4" width="11.28515625" style="1" bestFit="1" customWidth="1"/>
    <col min="5" max="6" width="12.42578125" style="1" bestFit="1" customWidth="1"/>
    <col min="7" max="7" width="12.42578125" style="1" customWidth="1"/>
    <col min="8" max="8" width="17.85546875" style="1" bestFit="1" customWidth="1"/>
    <col min="9" max="10" width="17.85546875" style="1" customWidth="1"/>
    <col min="11" max="11" width="12.85546875" style="1" bestFit="1" customWidth="1"/>
    <col min="12" max="12" width="13.85546875" style="1" bestFit="1" customWidth="1"/>
    <col min="13" max="13" width="17.85546875" style="1" customWidth="1"/>
    <col min="14" max="14" width="19.5703125" style="1" bestFit="1" customWidth="1"/>
    <col min="15" max="15" width="18.5703125" style="1" bestFit="1" customWidth="1"/>
    <col min="16" max="16" width="12.42578125" style="1" customWidth="1"/>
    <col min="17" max="17" width="10.140625" style="1" bestFit="1" customWidth="1"/>
    <col min="18" max="18" width="12.42578125" style="1" bestFit="1" customWidth="1"/>
    <col min="19" max="20" width="11.42578125" style="1" customWidth="1"/>
    <col min="21" max="21" width="9.140625" style="1"/>
    <col min="22" max="22" width="9.5703125" style="1" bestFit="1" customWidth="1"/>
    <col min="23" max="23" width="9.5703125" style="1" customWidth="1"/>
    <col min="24" max="29" width="9.140625" style="1"/>
    <col min="30" max="30" width="9.5703125" style="1" bestFit="1" customWidth="1"/>
    <col min="31" max="32" width="9.5703125" style="1" customWidth="1"/>
    <col min="33" max="37" width="9.140625" style="1"/>
    <col min="38" max="38" width="12.42578125" style="1" bestFit="1" customWidth="1"/>
    <col min="39" max="39" width="12.42578125" style="1" customWidth="1"/>
    <col min="40" max="41" width="12.42578125" style="1" bestFit="1" customWidth="1"/>
    <col min="42" max="44" width="9.28515625" style="1" bestFit="1" customWidth="1"/>
    <col min="45" max="45" width="9.28515625" style="1" customWidth="1"/>
    <col min="46" max="46" width="12.42578125" style="1" bestFit="1" customWidth="1"/>
    <col min="47" max="51" width="12.42578125" style="1" customWidth="1"/>
    <col min="52" max="52" width="10.28515625" style="1" bestFit="1" customWidth="1"/>
    <col min="53" max="53" width="9.28515625" style="1" bestFit="1" customWidth="1"/>
    <col min="54" max="61" width="9.28515625" style="1" customWidth="1"/>
    <col min="62" max="62" width="9.28515625" style="1" bestFit="1" customWidth="1"/>
    <col min="63" max="65" width="9.28515625" style="1" customWidth="1"/>
    <col min="66" max="66" width="10.140625" style="1" bestFit="1" customWidth="1"/>
    <col min="67" max="68" width="10.140625" style="1" customWidth="1"/>
    <col min="69" max="69" width="12.42578125" style="1" bestFit="1" customWidth="1"/>
    <col min="70" max="71" width="12.42578125" style="1" customWidth="1"/>
    <col min="72" max="73" width="12.42578125" style="1" bestFit="1" customWidth="1"/>
    <col min="74" max="75" width="12.42578125" style="1" customWidth="1"/>
    <col min="76" max="76" width="12.42578125" style="1" bestFit="1" customWidth="1"/>
    <col min="77" max="77" width="10.140625" style="1" bestFit="1" customWidth="1"/>
    <col min="78" max="78" width="9.28515625" style="1" bestFit="1" customWidth="1"/>
    <col min="79" max="79" width="10.28515625" style="1" bestFit="1" customWidth="1"/>
    <col min="80" max="80" width="10.28515625" style="1" customWidth="1"/>
    <col min="81" max="81" width="10.140625" style="1" bestFit="1" customWidth="1"/>
    <col min="82" max="82" width="12.42578125" style="1" bestFit="1" customWidth="1"/>
    <col min="83" max="83" width="9.28515625" style="1" bestFit="1" customWidth="1"/>
    <col min="84" max="86" width="9.28515625" style="1" customWidth="1"/>
    <col min="87" max="87" width="10.28515625" style="1" bestFit="1" customWidth="1"/>
    <col min="88" max="88" width="11.28515625" style="1" bestFit="1" customWidth="1"/>
    <col min="89" max="89" width="12.42578125" style="1" bestFit="1" customWidth="1"/>
    <col min="90" max="90" width="12.42578125" style="1" customWidth="1"/>
    <col min="91" max="91" width="10.28515625" style="1" bestFit="1" customWidth="1"/>
    <col min="92" max="92" width="10.28515625" style="1" customWidth="1"/>
    <col min="93" max="93" width="12.42578125" style="1" bestFit="1" customWidth="1"/>
    <col min="94" max="97" width="12.42578125" style="1" customWidth="1"/>
    <col min="98" max="98" width="10.140625" style="1" bestFit="1" customWidth="1"/>
    <col min="99" max="102" width="10.140625" style="1" customWidth="1"/>
    <col min="103" max="105" width="9.140625" style="1"/>
    <col min="106" max="106" width="10.140625" style="1" bestFit="1" customWidth="1"/>
    <col min="107" max="135" width="9.140625" style="1"/>
    <col min="136" max="136" width="10.140625" style="1" bestFit="1" customWidth="1"/>
    <col min="137" max="137" width="9.140625" style="1"/>
    <col min="138" max="138" width="10.140625" style="1" bestFit="1" customWidth="1"/>
    <col min="139" max="144" width="9.140625" style="1"/>
    <col min="145" max="145" width="10.140625" style="1" bestFit="1" customWidth="1"/>
    <col min="146" max="194" width="9.140625" style="1"/>
    <col min="195" max="195" width="20.85546875" style="1" bestFit="1" customWidth="1"/>
    <col min="196" max="196" width="20.28515625" style="1" bestFit="1" customWidth="1"/>
    <col min="197" max="16384" width="9.140625" style="1"/>
  </cols>
  <sheetData>
    <row r="1" spans="1:196" s="2" customFormat="1" x14ac:dyDescent="0.25">
      <c r="A1" s="6" t="s">
        <v>0</v>
      </c>
      <c r="B1" s="7" t="s">
        <v>1</v>
      </c>
      <c r="C1" s="7" t="s">
        <v>2</v>
      </c>
      <c r="D1" s="7" t="s">
        <v>4</v>
      </c>
      <c r="E1" s="7" t="s">
        <v>3</v>
      </c>
      <c r="F1" s="8" t="s">
        <v>5</v>
      </c>
      <c r="G1" s="2" t="s">
        <v>185</v>
      </c>
      <c r="H1" s="2" t="s">
        <v>186</v>
      </c>
      <c r="I1" s="2" t="s">
        <v>187</v>
      </c>
      <c r="J1" s="2" t="s">
        <v>188</v>
      </c>
      <c r="K1" s="2" t="s">
        <v>189</v>
      </c>
      <c r="L1" s="2" t="s">
        <v>190</v>
      </c>
      <c r="M1" s="2" t="s">
        <v>191</v>
      </c>
      <c r="N1" s="2" t="s">
        <v>192</v>
      </c>
      <c r="O1" s="17" t="s">
        <v>193</v>
      </c>
      <c r="P1" s="2" t="s">
        <v>166</v>
      </c>
      <c r="Q1" s="2" t="s">
        <v>15</v>
      </c>
      <c r="R1" s="2" t="s">
        <v>19</v>
      </c>
      <c r="S1" s="2" t="s">
        <v>100</v>
      </c>
      <c r="T1" s="2" t="s">
        <v>164</v>
      </c>
      <c r="U1" s="2" t="s">
        <v>18</v>
      </c>
      <c r="V1" s="2" t="s">
        <v>11</v>
      </c>
      <c r="W1" s="2" t="s">
        <v>152</v>
      </c>
      <c r="X1" s="2" t="s">
        <v>17</v>
      </c>
      <c r="Y1" s="2" t="s">
        <v>116</v>
      </c>
      <c r="Z1" s="2" t="s">
        <v>67</v>
      </c>
      <c r="AA1" s="2" t="s">
        <v>120</v>
      </c>
      <c r="AB1" s="2" t="s">
        <v>95</v>
      </c>
      <c r="AC1" s="2" t="s">
        <v>111</v>
      </c>
      <c r="AD1" s="2" t="s">
        <v>94</v>
      </c>
      <c r="AE1" s="2" t="s">
        <v>124</v>
      </c>
      <c r="AF1" s="2" t="s">
        <v>139</v>
      </c>
      <c r="AG1" s="2" t="s">
        <v>88</v>
      </c>
      <c r="AH1" s="2" t="s">
        <v>93</v>
      </c>
      <c r="AI1" s="2" t="s">
        <v>86</v>
      </c>
      <c r="AJ1" s="2" t="s">
        <v>46</v>
      </c>
      <c r="AK1" s="2" t="s">
        <v>14</v>
      </c>
      <c r="AL1" s="2" t="s">
        <v>35</v>
      </c>
      <c r="AM1" s="2" t="s">
        <v>102</v>
      </c>
      <c r="AN1" s="2" t="s">
        <v>70</v>
      </c>
      <c r="AO1" s="2" t="s">
        <v>44</v>
      </c>
      <c r="AP1" s="2" t="s">
        <v>64</v>
      </c>
      <c r="AQ1" s="2" t="s">
        <v>66</v>
      </c>
      <c r="AR1" s="2" t="s">
        <v>45</v>
      </c>
      <c r="AS1" s="2" t="s">
        <v>132</v>
      </c>
      <c r="AT1" s="2" t="s">
        <v>40</v>
      </c>
      <c r="AU1" s="2" t="s">
        <v>167</v>
      </c>
      <c r="AV1" s="2" t="s">
        <v>96</v>
      </c>
      <c r="AW1" s="2" t="s">
        <v>162</v>
      </c>
      <c r="AX1" s="2" t="s">
        <v>151</v>
      </c>
      <c r="AY1" s="2" t="s">
        <v>103</v>
      </c>
      <c r="AZ1" s="2" t="s">
        <v>8</v>
      </c>
      <c r="BA1" s="2" t="s">
        <v>60</v>
      </c>
      <c r="BB1" s="2" t="s">
        <v>182</v>
      </c>
      <c r="BC1" s="2" t="s">
        <v>146</v>
      </c>
      <c r="BD1" s="2" t="s">
        <v>145</v>
      </c>
      <c r="BE1" s="2" t="s">
        <v>130</v>
      </c>
      <c r="BF1" s="2" t="s">
        <v>140</v>
      </c>
      <c r="BG1" s="2" t="s">
        <v>128</v>
      </c>
      <c r="BH1" s="2" t="s">
        <v>177</v>
      </c>
      <c r="BI1" s="2" t="s">
        <v>180</v>
      </c>
      <c r="BJ1" s="2" t="s">
        <v>29</v>
      </c>
      <c r="BK1" s="2" t="s">
        <v>156</v>
      </c>
      <c r="BL1" s="2" t="s">
        <v>181</v>
      </c>
      <c r="BM1" s="2" t="s">
        <v>117</v>
      </c>
      <c r="BN1" s="2" t="s">
        <v>21</v>
      </c>
      <c r="BO1" s="2" t="s">
        <v>183</v>
      </c>
      <c r="BP1" s="2" t="s">
        <v>110</v>
      </c>
      <c r="BQ1" s="2" t="s">
        <v>83</v>
      </c>
      <c r="BR1" s="2" t="s">
        <v>99</v>
      </c>
      <c r="BS1" s="2" t="s">
        <v>149</v>
      </c>
      <c r="BT1" s="2" t="s">
        <v>81</v>
      </c>
      <c r="BU1" s="2" t="s">
        <v>43</v>
      </c>
      <c r="BV1" s="2" t="s">
        <v>171</v>
      </c>
      <c r="BW1" s="2" t="s">
        <v>133</v>
      </c>
      <c r="BX1" s="2" t="s">
        <v>58</v>
      </c>
      <c r="BY1" s="2" t="s">
        <v>41</v>
      </c>
      <c r="BZ1" s="2" t="s">
        <v>37</v>
      </c>
      <c r="CA1" s="2" t="s">
        <v>55</v>
      </c>
      <c r="CB1" s="2" t="s">
        <v>104</v>
      </c>
      <c r="CC1" s="2" t="s">
        <v>34</v>
      </c>
      <c r="CD1" s="2" t="s">
        <v>75</v>
      </c>
      <c r="CE1" s="2" t="s">
        <v>53</v>
      </c>
      <c r="CF1" s="2" t="s">
        <v>165</v>
      </c>
      <c r="CG1" s="2" t="s">
        <v>147</v>
      </c>
      <c r="CH1" s="2" t="s">
        <v>137</v>
      </c>
      <c r="CI1" s="2" t="s">
        <v>62</v>
      </c>
      <c r="CJ1" s="2" t="s">
        <v>49</v>
      </c>
      <c r="CK1" s="2" t="s">
        <v>9</v>
      </c>
      <c r="CL1" s="2" t="s">
        <v>148</v>
      </c>
      <c r="CM1" s="2" t="s">
        <v>61</v>
      </c>
      <c r="CN1" s="2" t="s">
        <v>106</v>
      </c>
      <c r="CO1" s="2" t="s">
        <v>12</v>
      </c>
      <c r="CP1" s="2" t="s">
        <v>141</v>
      </c>
      <c r="CQ1" s="2" t="s">
        <v>174</v>
      </c>
      <c r="CR1" s="2" t="s">
        <v>109</v>
      </c>
      <c r="CS1" s="2" t="s">
        <v>142</v>
      </c>
      <c r="CT1" s="2" t="s">
        <v>6</v>
      </c>
      <c r="CU1" s="2" t="s">
        <v>127</v>
      </c>
      <c r="CV1" s="2" t="s">
        <v>155</v>
      </c>
      <c r="CW1" s="2" t="s">
        <v>131</v>
      </c>
      <c r="CX1" s="2" t="s">
        <v>123</v>
      </c>
      <c r="CY1" s="2" t="s">
        <v>16</v>
      </c>
      <c r="CZ1" s="2" t="s">
        <v>68</v>
      </c>
      <c r="DA1" s="2" t="s">
        <v>77</v>
      </c>
      <c r="DB1" s="2" t="s">
        <v>79</v>
      </c>
      <c r="DC1" s="2" t="s">
        <v>52</v>
      </c>
      <c r="DD1" s="2" t="s">
        <v>119</v>
      </c>
      <c r="DE1" s="2" t="s">
        <v>38</v>
      </c>
      <c r="DF1" s="2" t="s">
        <v>26</v>
      </c>
      <c r="DG1" s="2" t="s">
        <v>121</v>
      </c>
      <c r="DH1" s="2" t="s">
        <v>63</v>
      </c>
      <c r="DI1" s="2" t="s">
        <v>143</v>
      </c>
      <c r="DJ1" s="2" t="s">
        <v>42</v>
      </c>
      <c r="DK1" s="2" t="s">
        <v>101</v>
      </c>
      <c r="DL1" s="2" t="s">
        <v>31</v>
      </c>
      <c r="DM1" s="2" t="s">
        <v>28</v>
      </c>
      <c r="DN1" s="2" t="s">
        <v>39</v>
      </c>
      <c r="DO1" s="2" t="s">
        <v>135</v>
      </c>
      <c r="DP1" s="2" t="s">
        <v>144</v>
      </c>
      <c r="DQ1" s="2" t="s">
        <v>161</v>
      </c>
      <c r="DR1" s="2" t="s">
        <v>150</v>
      </c>
      <c r="DS1" s="2" t="s">
        <v>178</v>
      </c>
      <c r="DT1" s="2" t="s">
        <v>173</v>
      </c>
      <c r="DU1" s="2" t="s">
        <v>169</v>
      </c>
      <c r="DV1" s="2" t="s">
        <v>84</v>
      </c>
      <c r="DW1" s="2" t="s">
        <v>154</v>
      </c>
      <c r="DX1" s="2" t="s">
        <v>134</v>
      </c>
      <c r="DY1" s="2" t="s">
        <v>170</v>
      </c>
      <c r="DZ1" s="2" t="s">
        <v>13</v>
      </c>
      <c r="EA1" s="2" t="s">
        <v>163</v>
      </c>
      <c r="EB1" s="2" t="s">
        <v>157</v>
      </c>
      <c r="EC1" s="2" t="s">
        <v>129</v>
      </c>
      <c r="ED1" s="2" t="s">
        <v>125</v>
      </c>
      <c r="EE1" s="2" t="s">
        <v>158</v>
      </c>
      <c r="EF1" s="2" t="s">
        <v>23</v>
      </c>
      <c r="EG1" s="2" t="s">
        <v>48</v>
      </c>
      <c r="EH1" s="2" t="s">
        <v>72</v>
      </c>
      <c r="EI1" s="2" t="s">
        <v>76</v>
      </c>
      <c r="EJ1" s="2" t="s">
        <v>78</v>
      </c>
      <c r="EK1" s="2" t="s">
        <v>73</v>
      </c>
      <c r="EL1" s="2" t="s">
        <v>91</v>
      </c>
      <c r="EM1" s="2" t="s">
        <v>114</v>
      </c>
      <c r="EN1" s="2" t="s">
        <v>184</v>
      </c>
      <c r="EO1" s="2" t="s">
        <v>7</v>
      </c>
      <c r="EP1" s="2" t="s">
        <v>87</v>
      </c>
      <c r="EQ1" s="2" t="s">
        <v>92</v>
      </c>
      <c r="ER1" s="2" t="s">
        <v>108</v>
      </c>
      <c r="ES1" s="2" t="s">
        <v>89</v>
      </c>
      <c r="ET1" s="2" t="s">
        <v>90</v>
      </c>
      <c r="EU1" s="2" t="s">
        <v>98</v>
      </c>
      <c r="EV1" s="2" t="s">
        <v>138</v>
      </c>
      <c r="EW1" s="2" t="s">
        <v>32</v>
      </c>
      <c r="EX1" s="2" t="s">
        <v>82</v>
      </c>
      <c r="EY1" s="2" t="s">
        <v>80</v>
      </c>
      <c r="EZ1" s="2" t="s">
        <v>22</v>
      </c>
      <c r="FA1" s="2" t="s">
        <v>107</v>
      </c>
      <c r="FB1" s="2" t="s">
        <v>54</v>
      </c>
      <c r="FC1" s="2" t="s">
        <v>56</v>
      </c>
      <c r="FD1" s="2" t="s">
        <v>179</v>
      </c>
      <c r="FE1" s="2" t="s">
        <v>65</v>
      </c>
      <c r="FF1" s="2" t="s">
        <v>57</v>
      </c>
      <c r="FG1" s="2" t="s">
        <v>85</v>
      </c>
      <c r="FH1" s="2" t="s">
        <v>69</v>
      </c>
      <c r="FI1" s="2" t="s">
        <v>24</v>
      </c>
      <c r="FJ1" s="2" t="s">
        <v>105</v>
      </c>
      <c r="FK1" s="2" t="s">
        <v>36</v>
      </c>
      <c r="FL1" s="2" t="s">
        <v>30</v>
      </c>
      <c r="FM1" s="2" t="s">
        <v>118</v>
      </c>
      <c r="FN1" s="2" t="s">
        <v>113</v>
      </c>
      <c r="FO1" s="2" t="s">
        <v>126</v>
      </c>
      <c r="FP1" s="2" t="s">
        <v>74</v>
      </c>
      <c r="FQ1" s="2" t="s">
        <v>27</v>
      </c>
      <c r="FR1" s="2" t="s">
        <v>71</v>
      </c>
      <c r="FS1" s="2" t="s">
        <v>97</v>
      </c>
      <c r="FT1" s="2" t="s">
        <v>20</v>
      </c>
      <c r="FU1" s="2" t="s">
        <v>47</v>
      </c>
      <c r="FV1" s="2" t="s">
        <v>153</v>
      </c>
      <c r="FW1" s="2" t="s">
        <v>159</v>
      </c>
      <c r="FX1" s="2" t="s">
        <v>33</v>
      </c>
      <c r="FY1" s="2" t="s">
        <v>175</v>
      </c>
      <c r="FZ1" s="2" t="s">
        <v>176</v>
      </c>
      <c r="GA1" s="2" t="s">
        <v>112</v>
      </c>
      <c r="GB1" s="2" t="s">
        <v>50</v>
      </c>
      <c r="GC1" s="2" t="s">
        <v>160</v>
      </c>
      <c r="GD1" s="2" t="s">
        <v>51</v>
      </c>
      <c r="GE1" s="2" t="s">
        <v>122</v>
      </c>
      <c r="GF1" s="2" t="s">
        <v>59</v>
      </c>
      <c r="GG1" s="2" t="s">
        <v>136</v>
      </c>
      <c r="GH1" s="2" t="s">
        <v>10</v>
      </c>
      <c r="GI1" s="2" t="s">
        <v>172</v>
      </c>
      <c r="GJ1" s="2" t="s">
        <v>25</v>
      </c>
      <c r="GK1" s="2" t="s">
        <v>115</v>
      </c>
      <c r="GL1" s="17" t="s">
        <v>168</v>
      </c>
      <c r="GM1" s="2" t="s">
        <v>194</v>
      </c>
      <c r="GN1" s="2" t="s">
        <v>195</v>
      </c>
    </row>
    <row r="2" spans="1:196" x14ac:dyDescent="0.25">
      <c r="A2" s="4">
        <v>1</v>
      </c>
      <c r="B2" s="9">
        <v>17923</v>
      </c>
      <c r="C2" s="10">
        <v>506567</v>
      </c>
      <c r="D2" s="10">
        <v>440095</v>
      </c>
      <c r="E2" s="5">
        <v>5411</v>
      </c>
      <c r="F2" s="11">
        <v>8.3000000000000001E-3</v>
      </c>
      <c r="G2" s="16">
        <f>D2/C2</f>
        <v>0.8687794506945774</v>
      </c>
      <c r="H2" s="10">
        <f>D2-E2</f>
        <v>434684</v>
      </c>
      <c r="I2" s="16">
        <f>E2/D2</f>
        <v>1.229507265476772E-2</v>
      </c>
      <c r="J2" s="10">
        <f>F2*H2</f>
        <v>3607.8771999999999</v>
      </c>
      <c r="K2" s="10">
        <f>COUNT($P2:$GL2)</f>
        <v>21</v>
      </c>
      <c r="L2" s="10">
        <f>COUNTIF($P2:$GL2,"&gt;"&amp;J2)</f>
        <v>12</v>
      </c>
      <c r="M2" s="10">
        <f>K2-L2</f>
        <v>9</v>
      </c>
      <c r="N2" s="10">
        <f>SUMIF($P2:$GL2,"&lt;"&amp;J2)</f>
        <v>19424</v>
      </c>
      <c r="O2" s="11">
        <f>N2/H2</f>
        <v>4.4685334633894964E-2</v>
      </c>
      <c r="P2" s="3">
        <v>155274</v>
      </c>
      <c r="Q2" s="3"/>
      <c r="R2" s="3"/>
      <c r="S2" s="3"/>
      <c r="T2" s="3"/>
      <c r="U2" s="3">
        <v>52982</v>
      </c>
      <c r="V2" s="3">
        <v>2892</v>
      </c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>
        <v>49782</v>
      </c>
      <c r="AV2" s="3"/>
      <c r="AW2" s="3"/>
      <c r="AX2" s="3"/>
      <c r="AY2" s="3"/>
      <c r="AZ2" s="3">
        <v>842</v>
      </c>
      <c r="BA2" s="3"/>
      <c r="BB2" s="3">
        <v>5363</v>
      </c>
      <c r="BC2" s="3"/>
      <c r="BD2" s="3"/>
      <c r="BE2" s="3"/>
      <c r="BF2" s="3"/>
      <c r="BG2" s="3"/>
      <c r="BH2" s="3"/>
      <c r="BI2" s="3"/>
      <c r="BJ2" s="3"/>
      <c r="BK2" s="3">
        <v>3214</v>
      </c>
      <c r="BL2" s="3">
        <v>2514</v>
      </c>
      <c r="BM2" s="3">
        <v>7387</v>
      </c>
      <c r="BN2" s="3"/>
      <c r="BO2" s="3">
        <v>2835</v>
      </c>
      <c r="BP2" s="3">
        <v>239</v>
      </c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>
        <v>4399</v>
      </c>
      <c r="CP2" s="3"/>
      <c r="CQ2" s="3"/>
      <c r="CR2" s="3"/>
      <c r="CS2" s="3">
        <v>64018</v>
      </c>
      <c r="CT2" s="3"/>
      <c r="CU2" s="3"/>
      <c r="CV2" s="3"/>
      <c r="CW2" s="3"/>
      <c r="CX2" s="3"/>
      <c r="CY2" s="3"/>
      <c r="CZ2" s="3"/>
      <c r="DA2" s="3"/>
      <c r="DB2" s="3"/>
      <c r="DC2" s="3">
        <v>5173</v>
      </c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>
        <v>15287</v>
      </c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>
        <v>17786</v>
      </c>
      <c r="EM2" s="3"/>
      <c r="EN2" s="3">
        <v>2796</v>
      </c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>
        <v>22661</v>
      </c>
      <c r="FA2" s="3"/>
      <c r="FB2" s="3"/>
      <c r="FC2" s="3"/>
      <c r="FD2" s="3"/>
      <c r="FE2" s="3"/>
      <c r="FF2" s="3"/>
      <c r="FG2" s="3"/>
      <c r="FH2" s="3"/>
      <c r="FI2" s="3">
        <v>15148</v>
      </c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>
        <v>1280</v>
      </c>
      <c r="GH2" s="3"/>
      <c r="GI2" s="3"/>
      <c r="GJ2" s="3">
        <v>2812</v>
      </c>
      <c r="GK2" s="3"/>
      <c r="GL2" s="26"/>
      <c r="GM2" s="28">
        <v>17967</v>
      </c>
      <c r="GN2" s="1">
        <f>GM2-B2</f>
        <v>44</v>
      </c>
    </row>
    <row r="3" spans="1:196" s="25" customFormat="1" x14ac:dyDescent="0.25">
      <c r="A3" s="18">
        <v>2</v>
      </c>
      <c r="B3" s="19">
        <v>18839</v>
      </c>
      <c r="C3" s="20">
        <v>924885</v>
      </c>
      <c r="D3" s="20">
        <v>695007</v>
      </c>
      <c r="E3" s="21">
        <v>7515</v>
      </c>
      <c r="F3" s="22">
        <v>0.01</v>
      </c>
      <c r="G3" s="23">
        <f t="shared" ref="G3:G26" si="0">D3/C3</f>
        <v>0.75145234272368999</v>
      </c>
      <c r="H3" s="20">
        <f t="shared" ref="H3:H26" si="1">D3-E3</f>
        <v>687492</v>
      </c>
      <c r="I3" s="23">
        <f t="shared" ref="I3:I26" si="2">E3/D3</f>
        <v>1.0812840733978219E-2</v>
      </c>
      <c r="J3" s="20">
        <f t="shared" ref="J3:J26" si="3">F3*H3</f>
        <v>6874.92</v>
      </c>
      <c r="K3" s="20">
        <f t="shared" ref="K3:K26" si="4">COUNT($P3:$GL3)</f>
        <v>17</v>
      </c>
      <c r="L3" s="20">
        <f t="shared" ref="L3:L26" si="5">COUNTIF($P3:$GL3,"&gt;"&amp;J3)</f>
        <v>15</v>
      </c>
      <c r="M3" s="20">
        <f t="shared" ref="M3:M26" si="6">K3-L3</f>
        <v>2</v>
      </c>
      <c r="N3" s="20">
        <f t="shared" ref="N3:N26" si="7">SUMIF($P3:$GL3,"&lt;"&amp;J3)</f>
        <v>4413</v>
      </c>
      <c r="O3" s="22">
        <f t="shared" ref="O3:O26" si="8">N3/H3</f>
        <v>6.4189837845385839E-3</v>
      </c>
      <c r="P3" s="24">
        <v>256456</v>
      </c>
      <c r="Q3" s="24"/>
      <c r="R3" s="24"/>
      <c r="S3" s="24"/>
      <c r="T3" s="24"/>
      <c r="U3" s="24">
        <v>10383</v>
      </c>
      <c r="V3" s="24">
        <v>13799</v>
      </c>
      <c r="W3" s="24"/>
      <c r="X3" s="24">
        <v>11194</v>
      </c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>
        <v>46347</v>
      </c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>
        <v>45651</v>
      </c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>
        <v>4038</v>
      </c>
      <c r="BJ3" s="24"/>
      <c r="BK3" s="24"/>
      <c r="BL3" s="24"/>
      <c r="BM3" s="24">
        <v>16370</v>
      </c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>
        <v>7965</v>
      </c>
      <c r="CP3" s="24"/>
      <c r="CQ3" s="24"/>
      <c r="CR3" s="24"/>
      <c r="CS3" s="24">
        <v>86095</v>
      </c>
      <c r="CT3" s="24"/>
      <c r="CU3" s="24"/>
      <c r="CV3" s="24"/>
      <c r="CW3" s="24"/>
      <c r="CX3" s="24"/>
      <c r="CY3" s="24"/>
      <c r="CZ3" s="24"/>
      <c r="DA3" s="24"/>
      <c r="DB3" s="24"/>
      <c r="DC3" s="24">
        <v>8067</v>
      </c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>
        <v>12002</v>
      </c>
      <c r="DT3" s="24"/>
      <c r="DU3" s="24"/>
      <c r="DV3" s="24">
        <v>7851</v>
      </c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>
        <v>22171</v>
      </c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>
        <v>111394</v>
      </c>
      <c r="FA3" s="24"/>
      <c r="FB3" s="24"/>
      <c r="FC3" s="24"/>
      <c r="FD3" s="24"/>
      <c r="FE3" s="24"/>
      <c r="FF3" s="24"/>
      <c r="FG3" s="24"/>
      <c r="FH3" s="24"/>
      <c r="FI3" s="24">
        <v>27334</v>
      </c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>
        <v>375</v>
      </c>
      <c r="GH3" s="24"/>
      <c r="GI3" s="24"/>
      <c r="GJ3" s="24"/>
      <c r="GK3" s="24"/>
      <c r="GL3" s="27"/>
      <c r="GM3" s="29">
        <v>18909</v>
      </c>
      <c r="GN3" s="25">
        <f t="shared" ref="GN3:GN26" si="9">GM3-B3</f>
        <v>70</v>
      </c>
    </row>
    <row r="4" spans="1:196" x14ac:dyDescent="0.25">
      <c r="A4" s="4">
        <v>3</v>
      </c>
      <c r="B4" s="9">
        <v>20296</v>
      </c>
      <c r="C4" s="10">
        <v>1057609</v>
      </c>
      <c r="D4" s="10">
        <v>876085</v>
      </c>
      <c r="E4" s="10">
        <v>22866</v>
      </c>
      <c r="F4" s="11">
        <v>0.01</v>
      </c>
      <c r="G4" s="16">
        <f t="shared" si="0"/>
        <v>0.82836379039890928</v>
      </c>
      <c r="H4" s="10">
        <f t="shared" si="1"/>
        <v>853219</v>
      </c>
      <c r="I4" s="16">
        <f t="shared" si="2"/>
        <v>2.6100207171678547E-2</v>
      </c>
      <c r="J4" s="10">
        <f t="shared" si="3"/>
        <v>8532.19</v>
      </c>
      <c r="K4" s="10">
        <f t="shared" si="4"/>
        <v>18</v>
      </c>
      <c r="L4" s="10">
        <f t="shared" si="5"/>
        <v>12</v>
      </c>
      <c r="M4" s="10">
        <f t="shared" si="6"/>
        <v>6</v>
      </c>
      <c r="N4" s="10">
        <f t="shared" si="7"/>
        <v>20617</v>
      </c>
      <c r="O4" s="11">
        <f t="shared" si="8"/>
        <v>2.4163784444556437E-2</v>
      </c>
      <c r="P4" s="3">
        <v>274735</v>
      </c>
      <c r="Q4" s="3"/>
      <c r="R4" s="3"/>
      <c r="S4" s="3"/>
      <c r="T4" s="3"/>
      <c r="U4" s="3">
        <v>77936</v>
      </c>
      <c r="V4" s="3"/>
      <c r="W4" s="3">
        <v>39836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>
        <v>107190</v>
      </c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>
        <v>15475</v>
      </c>
      <c r="BN4" s="3"/>
      <c r="BO4" s="3"/>
      <c r="BP4" s="3">
        <v>2448</v>
      </c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>
        <v>2459</v>
      </c>
      <c r="CP4" s="3"/>
      <c r="CQ4" s="3"/>
      <c r="CR4" s="3"/>
      <c r="CS4" s="3">
        <v>62401</v>
      </c>
      <c r="CT4" s="3"/>
      <c r="CU4" s="3"/>
      <c r="CV4" s="3"/>
      <c r="CW4" s="3"/>
      <c r="CX4" s="3"/>
      <c r="CY4" s="3"/>
      <c r="CZ4" s="3"/>
      <c r="DA4" s="3"/>
      <c r="DB4" s="3"/>
      <c r="DC4" s="3">
        <v>12511</v>
      </c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>
        <v>6994</v>
      </c>
      <c r="DT4" s="3"/>
      <c r="DU4" s="3"/>
      <c r="DV4" s="3">
        <v>9791</v>
      </c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>
        <v>37661</v>
      </c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>
        <v>87099</v>
      </c>
      <c r="FA4" s="3"/>
      <c r="FB4" s="3"/>
      <c r="FC4" s="3"/>
      <c r="FD4" s="3">
        <v>4484</v>
      </c>
      <c r="FE4" s="3"/>
      <c r="FF4" s="3"/>
      <c r="FG4" s="3"/>
      <c r="FH4" s="3"/>
      <c r="FI4" s="3">
        <v>38492</v>
      </c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>
        <v>1188</v>
      </c>
      <c r="GA4" s="3"/>
      <c r="GB4" s="3"/>
      <c r="GC4" s="3"/>
      <c r="GD4" s="3"/>
      <c r="GE4" s="3"/>
      <c r="GF4" s="3"/>
      <c r="GG4" s="3">
        <v>3044</v>
      </c>
      <c r="GH4" s="3"/>
      <c r="GI4" s="3"/>
      <c r="GJ4" s="3"/>
      <c r="GK4" s="3"/>
      <c r="GL4" s="26">
        <v>69475</v>
      </c>
      <c r="GM4" s="28">
        <v>20396</v>
      </c>
      <c r="GN4" s="1">
        <f t="shared" si="9"/>
        <v>100</v>
      </c>
    </row>
    <row r="5" spans="1:196" s="25" customFormat="1" x14ac:dyDescent="0.25">
      <c r="A5" s="18">
        <v>4</v>
      </c>
      <c r="B5" s="19">
        <v>21857</v>
      </c>
      <c r="C5" s="20">
        <v>1218724</v>
      </c>
      <c r="D5" s="20">
        <v>994306</v>
      </c>
      <c r="E5" s="20">
        <v>24969</v>
      </c>
      <c r="F5" s="22">
        <v>0.01</v>
      </c>
      <c r="G5" s="23">
        <f t="shared" si="0"/>
        <v>0.81585822548829756</v>
      </c>
      <c r="H5" s="20">
        <f t="shared" si="1"/>
        <v>969337</v>
      </c>
      <c r="I5" s="23">
        <f t="shared" si="2"/>
        <v>2.5111987657723076E-2</v>
      </c>
      <c r="J5" s="20">
        <f t="shared" si="3"/>
        <v>9693.3700000000008</v>
      </c>
      <c r="K5" s="20">
        <f t="shared" si="4"/>
        <v>24</v>
      </c>
      <c r="L5" s="20">
        <f t="shared" si="5"/>
        <v>12</v>
      </c>
      <c r="M5" s="20">
        <f t="shared" si="6"/>
        <v>12</v>
      </c>
      <c r="N5" s="20">
        <f t="shared" si="7"/>
        <v>33260</v>
      </c>
      <c r="O5" s="22">
        <f t="shared" si="8"/>
        <v>3.4312112299437654E-2</v>
      </c>
      <c r="P5" s="24">
        <v>370585</v>
      </c>
      <c r="Q5" s="24"/>
      <c r="R5" s="24"/>
      <c r="S5" s="24"/>
      <c r="T5" s="24"/>
      <c r="U5" s="24">
        <v>95581</v>
      </c>
      <c r="V5" s="24"/>
      <c r="W5" s="24">
        <v>45569</v>
      </c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>
        <v>130515</v>
      </c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5">
        <v>594</v>
      </c>
      <c r="BJ5" s="24"/>
      <c r="BK5" s="24">
        <v>11104</v>
      </c>
      <c r="BL5" s="24"/>
      <c r="BM5" s="24">
        <v>3818</v>
      </c>
      <c r="BN5" s="24"/>
      <c r="BO5" s="24"/>
      <c r="BP5" s="24"/>
      <c r="BQ5" s="24"/>
      <c r="BR5" s="24"/>
      <c r="BS5" s="24"/>
      <c r="BT5" s="24"/>
      <c r="BU5" s="24"/>
      <c r="BV5" s="24">
        <v>8199</v>
      </c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>
        <v>1711</v>
      </c>
      <c r="CR5" s="24"/>
      <c r="CS5" s="24">
        <v>69468</v>
      </c>
      <c r="CT5" s="24"/>
      <c r="CU5" s="24"/>
      <c r="CV5" s="24"/>
      <c r="CW5" s="24"/>
      <c r="CX5" s="24"/>
      <c r="CY5" s="24"/>
      <c r="CZ5" s="24"/>
      <c r="DA5" s="24"/>
      <c r="DB5" s="24"/>
      <c r="DC5" s="24">
        <v>4651</v>
      </c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>
        <v>2456</v>
      </c>
      <c r="DU5" s="24">
        <v>3133</v>
      </c>
      <c r="DV5" s="24">
        <v>10902</v>
      </c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>
        <v>44889</v>
      </c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  <c r="EY5" s="24"/>
      <c r="EZ5" s="24">
        <v>59700</v>
      </c>
      <c r="FA5" s="24"/>
      <c r="FB5" s="24"/>
      <c r="FC5" s="24"/>
      <c r="FD5" s="24"/>
      <c r="FE5" s="24"/>
      <c r="FF5" s="24"/>
      <c r="FG5" s="24"/>
      <c r="FH5" s="24"/>
      <c r="FI5" s="24">
        <v>27374</v>
      </c>
      <c r="FJ5" s="24"/>
      <c r="FK5" s="24"/>
      <c r="FL5" s="24"/>
      <c r="FM5" s="24"/>
      <c r="FN5" s="24"/>
      <c r="FO5" s="24"/>
      <c r="FP5" s="24"/>
      <c r="FQ5" s="24"/>
      <c r="FR5" s="24"/>
      <c r="FS5" s="24"/>
      <c r="FT5" s="24"/>
      <c r="FU5" s="24"/>
      <c r="FV5" s="24">
        <v>12347</v>
      </c>
      <c r="FW5" s="24"/>
      <c r="FX5" s="24"/>
      <c r="FY5" s="24">
        <v>1611</v>
      </c>
      <c r="FZ5" s="25">
        <v>631</v>
      </c>
      <c r="GA5" s="24"/>
      <c r="GB5" s="24">
        <v>1322</v>
      </c>
      <c r="GC5" s="24"/>
      <c r="GD5" s="24"/>
      <c r="GE5" s="24"/>
      <c r="GF5" s="24"/>
      <c r="GG5" s="24">
        <v>1765</v>
      </c>
      <c r="GH5" s="24"/>
      <c r="GI5" s="24">
        <v>3369</v>
      </c>
      <c r="GJ5" s="24"/>
      <c r="GK5" s="24"/>
      <c r="GL5" s="27">
        <v>58043</v>
      </c>
      <c r="GM5" s="29">
        <v>21901</v>
      </c>
      <c r="GN5" s="25">
        <f t="shared" si="9"/>
        <v>44</v>
      </c>
    </row>
    <row r="6" spans="1:196" x14ac:dyDescent="0.25">
      <c r="A6" s="4">
        <v>5</v>
      </c>
      <c r="B6" s="9">
        <v>22508</v>
      </c>
      <c r="C6" s="10">
        <v>1274280</v>
      </c>
      <c r="D6" s="10">
        <v>1037030</v>
      </c>
      <c r="E6" s="10">
        <v>30066</v>
      </c>
      <c r="F6" s="11">
        <v>0.01</v>
      </c>
      <c r="G6" s="16">
        <f t="shared" si="0"/>
        <v>0.81381642967008816</v>
      </c>
      <c r="H6" s="10">
        <f t="shared" si="1"/>
        <v>1006964</v>
      </c>
      <c r="I6" s="16">
        <f t="shared" si="2"/>
        <v>2.899241101993192E-2</v>
      </c>
      <c r="J6" s="10">
        <f t="shared" si="3"/>
        <v>10069.64</v>
      </c>
      <c r="K6" s="10">
        <f t="shared" si="4"/>
        <v>14</v>
      </c>
      <c r="L6" s="10">
        <f t="shared" si="5"/>
        <v>11</v>
      </c>
      <c r="M6" s="10">
        <f t="shared" si="6"/>
        <v>3</v>
      </c>
      <c r="N6" s="10">
        <f t="shared" si="7"/>
        <v>7077</v>
      </c>
      <c r="O6" s="11">
        <f t="shared" si="8"/>
        <v>7.0280566137419015E-3</v>
      </c>
      <c r="P6" s="3">
        <v>349330</v>
      </c>
      <c r="Q6" s="3"/>
      <c r="R6" s="3"/>
      <c r="S6" s="3"/>
      <c r="T6" s="3"/>
      <c r="U6" s="3">
        <v>98786</v>
      </c>
      <c r="V6" s="3">
        <v>37178</v>
      </c>
      <c r="W6" s="3"/>
      <c r="X6" s="3">
        <v>19428</v>
      </c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>
        <v>138599</v>
      </c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>
        <v>19342</v>
      </c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>
        <v>137255</v>
      </c>
      <c r="CP6" s="3"/>
      <c r="CQ6" s="3"/>
      <c r="CR6" s="3"/>
      <c r="CS6" s="3">
        <v>75654</v>
      </c>
      <c r="CT6" s="3"/>
      <c r="CU6" s="3"/>
      <c r="CV6" s="3"/>
      <c r="CW6" s="3"/>
      <c r="CX6" s="3"/>
      <c r="CY6" s="3"/>
      <c r="CZ6" s="3"/>
      <c r="DA6" s="3"/>
      <c r="DB6" s="3"/>
      <c r="DC6" s="3">
        <v>3561</v>
      </c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>
        <v>3181</v>
      </c>
      <c r="DV6" s="3"/>
      <c r="DW6" s="3"/>
      <c r="DX6" s="3"/>
      <c r="DY6" s="3">
        <v>335</v>
      </c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>
        <v>42111</v>
      </c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>
        <v>16034</v>
      </c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26">
        <v>66170</v>
      </c>
      <c r="GM6" s="28">
        <v>22587</v>
      </c>
      <c r="GN6" s="1">
        <f t="shared" si="9"/>
        <v>79</v>
      </c>
    </row>
    <row r="7" spans="1:196" s="25" customFormat="1" x14ac:dyDescent="0.25">
      <c r="A7" s="18">
        <v>6</v>
      </c>
      <c r="B7" s="19">
        <v>24048</v>
      </c>
      <c r="C7" s="20">
        <v>1499988</v>
      </c>
      <c r="D7" s="20">
        <v>1244706</v>
      </c>
      <c r="E7" s="20">
        <v>37978</v>
      </c>
      <c r="F7" s="22">
        <v>0.01</v>
      </c>
      <c r="G7" s="23">
        <f t="shared" si="0"/>
        <v>0.82981063848510783</v>
      </c>
      <c r="H7" s="20">
        <f t="shared" si="1"/>
        <v>1206728</v>
      </c>
      <c r="I7" s="23">
        <f t="shared" si="2"/>
        <v>3.0511622824988392E-2</v>
      </c>
      <c r="J7" s="20">
        <f t="shared" si="3"/>
        <v>12067.28</v>
      </c>
      <c r="K7" s="20">
        <f t="shared" si="4"/>
        <v>17</v>
      </c>
      <c r="L7" s="20">
        <f t="shared" si="5"/>
        <v>13</v>
      </c>
      <c r="M7" s="20">
        <f t="shared" si="6"/>
        <v>4</v>
      </c>
      <c r="N7" s="20">
        <f t="shared" si="7"/>
        <v>20905</v>
      </c>
      <c r="O7" s="22">
        <f t="shared" si="8"/>
        <v>1.7323705093442766E-2</v>
      </c>
      <c r="P7" s="24"/>
      <c r="T7" s="24">
        <v>443379</v>
      </c>
      <c r="U7" s="24">
        <v>107966</v>
      </c>
      <c r="V7" s="24">
        <v>39795</v>
      </c>
      <c r="X7" s="24">
        <v>22066</v>
      </c>
      <c r="AI7" s="24">
        <v>27413</v>
      </c>
      <c r="AW7" s="24">
        <v>256957</v>
      </c>
      <c r="BK7" s="24">
        <v>16464</v>
      </c>
      <c r="BL7" s="24"/>
      <c r="CF7" s="24">
        <v>95328</v>
      </c>
      <c r="CL7" s="24">
        <v>5536</v>
      </c>
      <c r="CP7" s="24">
        <v>45299</v>
      </c>
      <c r="CQ7" s="24"/>
      <c r="CS7" s="24">
        <v>79985</v>
      </c>
      <c r="DI7" s="24">
        <v>2135</v>
      </c>
      <c r="EB7" s="24">
        <v>11244</v>
      </c>
      <c r="EV7" s="24">
        <v>1990</v>
      </c>
      <c r="FI7" s="24">
        <v>13617</v>
      </c>
      <c r="FV7" s="24">
        <v>23430</v>
      </c>
      <c r="GG7" s="24">
        <v>14124</v>
      </c>
      <c r="GL7" s="27"/>
      <c r="GM7" s="29">
        <v>24119</v>
      </c>
      <c r="GN7" s="25">
        <f t="shared" si="9"/>
        <v>71</v>
      </c>
    </row>
    <row r="8" spans="1:196" x14ac:dyDescent="0.25">
      <c r="A8" s="4">
        <v>7</v>
      </c>
      <c r="B8" s="9">
        <v>25504</v>
      </c>
      <c r="C8" s="10">
        <v>1758685</v>
      </c>
      <c r="D8" s="10">
        <v>1427981</v>
      </c>
      <c r="E8" s="10">
        <v>60238</v>
      </c>
      <c r="F8" s="11">
        <v>0.01</v>
      </c>
      <c r="G8" s="16">
        <f t="shared" si="0"/>
        <v>0.81195950383383042</v>
      </c>
      <c r="H8" s="10">
        <f t="shared" si="1"/>
        <v>1367743</v>
      </c>
      <c r="I8" s="16">
        <f t="shared" si="2"/>
        <v>4.2184034661525607E-2</v>
      </c>
      <c r="J8" s="10">
        <f t="shared" si="3"/>
        <v>13677.43</v>
      </c>
      <c r="K8" s="10">
        <f t="shared" si="4"/>
        <v>16</v>
      </c>
      <c r="L8" s="10">
        <f t="shared" si="5"/>
        <v>13</v>
      </c>
      <c r="M8" s="10">
        <f t="shared" si="6"/>
        <v>3</v>
      </c>
      <c r="N8" s="10">
        <f t="shared" si="7"/>
        <v>14845</v>
      </c>
      <c r="O8" s="11">
        <f t="shared" si="8"/>
        <v>1.0853647212963254E-2</v>
      </c>
      <c r="P8" s="3"/>
      <c r="Q8" s="3">
        <v>632035</v>
      </c>
      <c r="U8" s="3">
        <v>133238</v>
      </c>
      <c r="V8" s="3">
        <v>44002</v>
      </c>
      <c r="X8" s="3">
        <v>24968</v>
      </c>
      <c r="AI8" s="3">
        <v>38827</v>
      </c>
      <c r="AW8" s="3">
        <v>296294</v>
      </c>
      <c r="AZ8" s="3">
        <v>16393</v>
      </c>
      <c r="BK8" s="3">
        <v>19943</v>
      </c>
      <c r="BL8" s="3"/>
      <c r="CK8" s="3">
        <v>7591</v>
      </c>
      <c r="CP8" s="3">
        <v>43933</v>
      </c>
      <c r="CQ8" s="3"/>
      <c r="DI8" s="3">
        <v>5138</v>
      </c>
      <c r="EA8" s="3">
        <v>42654</v>
      </c>
      <c r="EP8" s="3">
        <v>2116</v>
      </c>
      <c r="FI8" s="3">
        <v>15712</v>
      </c>
      <c r="FV8" s="3">
        <v>28046</v>
      </c>
      <c r="GG8" s="3">
        <v>16853</v>
      </c>
      <c r="GL8" s="26"/>
      <c r="GM8" s="28">
        <v>25552</v>
      </c>
      <c r="GN8" s="1">
        <f t="shared" si="9"/>
        <v>48</v>
      </c>
    </row>
    <row r="9" spans="1:196" s="25" customFormat="1" x14ac:dyDescent="0.25">
      <c r="A9" s="18">
        <v>8</v>
      </c>
      <c r="B9" s="19">
        <v>27029</v>
      </c>
      <c r="C9" s="20">
        <v>2037478</v>
      </c>
      <c r="D9" s="20">
        <v>1601098</v>
      </c>
      <c r="E9" s="20">
        <v>34243</v>
      </c>
      <c r="F9" s="22">
        <v>0.01</v>
      </c>
      <c r="G9" s="23">
        <f t="shared" si="0"/>
        <v>0.78582345429005862</v>
      </c>
      <c r="H9" s="20">
        <f t="shared" si="1"/>
        <v>1566855</v>
      </c>
      <c r="I9" s="23">
        <f t="shared" si="2"/>
        <v>2.1387198035348241E-2</v>
      </c>
      <c r="J9" s="20">
        <f t="shared" si="3"/>
        <v>15668.550000000001</v>
      </c>
      <c r="K9" s="20">
        <f t="shared" si="4"/>
        <v>21</v>
      </c>
      <c r="L9" s="20">
        <f t="shared" si="5"/>
        <v>10</v>
      </c>
      <c r="M9" s="20">
        <f t="shared" si="6"/>
        <v>11</v>
      </c>
      <c r="N9" s="20">
        <f t="shared" si="7"/>
        <v>75907</v>
      </c>
      <c r="O9" s="22">
        <f t="shared" si="8"/>
        <v>4.8445452833861459E-2</v>
      </c>
      <c r="P9" s="24"/>
      <c r="Q9" s="24">
        <v>621183</v>
      </c>
      <c r="R9" s="24"/>
      <c r="S9" s="24"/>
      <c r="T9" s="24"/>
      <c r="U9" s="24">
        <v>130349</v>
      </c>
      <c r="V9" s="24"/>
      <c r="W9" s="24">
        <v>60012</v>
      </c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>
        <v>53353</v>
      </c>
      <c r="AJ9" s="24"/>
      <c r="AK9" s="24"/>
      <c r="AL9" s="24">
        <v>13332</v>
      </c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>
        <v>473309</v>
      </c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>
        <v>9949</v>
      </c>
      <c r="BL9" s="24"/>
      <c r="BM9" s="24"/>
      <c r="BN9" s="24"/>
      <c r="BO9" s="24"/>
      <c r="CJ9" s="24">
        <v>12811</v>
      </c>
      <c r="CK9" s="24"/>
      <c r="CL9" s="24"/>
      <c r="CM9" s="24"/>
      <c r="CN9" s="24"/>
      <c r="CO9" s="24"/>
      <c r="CP9" s="24">
        <v>56560</v>
      </c>
      <c r="CQ9" s="24"/>
      <c r="CR9" s="24"/>
      <c r="CS9" s="24"/>
      <c r="CT9" s="24"/>
      <c r="CU9" s="24"/>
      <c r="CV9" s="24">
        <v>10202</v>
      </c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>
        <v>1101</v>
      </c>
      <c r="DR9" s="24"/>
      <c r="DS9" s="24"/>
      <c r="DT9" s="24"/>
      <c r="DU9" s="24"/>
      <c r="DV9" s="24"/>
      <c r="DW9" s="24">
        <v>16408</v>
      </c>
      <c r="DX9" s="24"/>
      <c r="DY9" s="24"/>
      <c r="DZ9" s="24"/>
      <c r="EA9" s="24"/>
      <c r="EB9" s="24">
        <v>4433</v>
      </c>
      <c r="EC9" s="24"/>
      <c r="ED9" s="24"/>
      <c r="EE9" s="24">
        <v>3269</v>
      </c>
      <c r="EF9" s="24"/>
      <c r="EG9" s="24"/>
      <c r="EH9" s="24"/>
      <c r="EI9" s="24"/>
      <c r="EJ9" s="24"/>
      <c r="EK9" s="24"/>
      <c r="EL9" s="24">
        <v>5945</v>
      </c>
      <c r="EM9" s="24"/>
      <c r="EN9" s="24"/>
      <c r="EO9" s="24"/>
      <c r="EP9" s="24"/>
      <c r="EQ9" s="24"/>
      <c r="ER9" s="24"/>
      <c r="ES9" s="24"/>
      <c r="ET9" s="24"/>
      <c r="EU9" s="24"/>
      <c r="EV9" s="24"/>
      <c r="EW9" s="24"/>
      <c r="EX9" s="24"/>
      <c r="EY9" s="24"/>
      <c r="EZ9" s="24"/>
      <c r="FA9" s="24"/>
      <c r="FB9" s="24"/>
      <c r="FC9" s="24"/>
      <c r="FD9" s="24"/>
      <c r="FE9" s="24"/>
      <c r="FF9" s="24"/>
      <c r="FG9" s="24"/>
      <c r="FH9" s="24"/>
      <c r="FI9" s="24"/>
      <c r="FJ9" s="24"/>
      <c r="FK9" s="24"/>
      <c r="FL9" s="24"/>
      <c r="FM9" s="24"/>
      <c r="FN9" s="24"/>
      <c r="FO9" s="24"/>
      <c r="FP9" s="24"/>
      <c r="FQ9" s="24">
        <v>22147</v>
      </c>
      <c r="FR9" s="24"/>
      <c r="FS9" s="24"/>
      <c r="FT9" s="24"/>
      <c r="FU9" s="24"/>
      <c r="FV9" s="24">
        <v>22604</v>
      </c>
      <c r="FW9" s="24">
        <v>3195</v>
      </c>
      <c r="FX9" s="24"/>
      <c r="FY9" s="24"/>
      <c r="FZ9" s="24"/>
      <c r="GA9" s="24"/>
      <c r="GB9" s="24"/>
      <c r="GC9" s="24">
        <v>1201</v>
      </c>
      <c r="GD9" s="24"/>
      <c r="GE9" s="24">
        <v>35023</v>
      </c>
      <c r="GF9" s="24"/>
      <c r="GG9" s="24">
        <v>10469</v>
      </c>
      <c r="GL9" s="27"/>
      <c r="GM9" s="29">
        <v>27098</v>
      </c>
      <c r="GN9" s="25">
        <f t="shared" si="9"/>
        <v>69</v>
      </c>
    </row>
    <row r="10" spans="1:196" x14ac:dyDescent="0.25">
      <c r="A10" s="4">
        <v>9</v>
      </c>
      <c r="B10" s="9">
        <v>28262</v>
      </c>
      <c r="C10" s="10">
        <v>2236293</v>
      </c>
      <c r="D10" s="10">
        <v>1771726</v>
      </c>
      <c r="E10" s="10">
        <v>23906</v>
      </c>
      <c r="F10" s="11">
        <v>0.01</v>
      </c>
      <c r="G10" s="16">
        <f t="shared" si="0"/>
        <v>0.79226022708115618</v>
      </c>
      <c r="H10" s="10">
        <f t="shared" si="1"/>
        <v>1747820</v>
      </c>
      <c r="I10" s="16">
        <f t="shared" si="2"/>
        <v>1.3493057052839999E-2</v>
      </c>
      <c r="J10" s="10">
        <f t="shared" si="3"/>
        <v>17478.2</v>
      </c>
      <c r="K10" s="10">
        <f t="shared" si="4"/>
        <v>22</v>
      </c>
      <c r="L10" s="10">
        <f t="shared" si="5"/>
        <v>13</v>
      </c>
      <c r="M10" s="10">
        <f t="shared" si="6"/>
        <v>9</v>
      </c>
      <c r="N10" s="10">
        <f t="shared" si="7"/>
        <v>46969</v>
      </c>
      <c r="O10" s="11">
        <f t="shared" si="8"/>
        <v>2.6872904532503347E-2</v>
      </c>
      <c r="P10" s="3"/>
      <c r="Q10" s="3">
        <v>430023</v>
      </c>
      <c r="R10" s="3"/>
      <c r="S10" s="3"/>
      <c r="T10" s="3"/>
      <c r="U10" s="3">
        <v>160787</v>
      </c>
      <c r="V10" s="3">
        <v>58652</v>
      </c>
      <c r="W10" s="3"/>
      <c r="X10" s="3">
        <v>23571</v>
      </c>
      <c r="Y10" s="3"/>
      <c r="Z10" s="3"/>
      <c r="AA10" s="3"/>
      <c r="AB10" s="3"/>
      <c r="AC10" s="3"/>
      <c r="AD10" s="3"/>
      <c r="AE10" s="3"/>
      <c r="AF10" s="3"/>
      <c r="AG10" s="3">
        <v>1085</v>
      </c>
      <c r="AH10" s="3"/>
      <c r="AI10" s="3">
        <v>80118</v>
      </c>
      <c r="AJ10" s="3"/>
      <c r="AK10" s="3"/>
      <c r="AL10" s="3"/>
      <c r="AM10" s="3">
        <v>14516</v>
      </c>
      <c r="AN10" s="3"/>
      <c r="AO10" s="3">
        <v>9505</v>
      </c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>
        <v>24185</v>
      </c>
      <c r="BT10" s="3"/>
      <c r="BU10" s="3"/>
      <c r="BV10" s="3"/>
      <c r="BW10" s="3"/>
      <c r="BX10" s="3"/>
      <c r="BY10" s="3"/>
      <c r="BZ10" s="3"/>
      <c r="CA10" s="3"/>
      <c r="CB10" s="3">
        <v>202265</v>
      </c>
      <c r="CC10" s="3"/>
      <c r="CD10" s="3"/>
      <c r="CE10" s="3"/>
      <c r="CF10" s="3"/>
      <c r="CG10" s="3">
        <v>1802</v>
      </c>
      <c r="CH10" s="3"/>
      <c r="CI10" s="3"/>
      <c r="CJ10" s="3">
        <v>4396</v>
      </c>
      <c r="CK10" s="3"/>
      <c r="CL10" s="3">
        <v>33947</v>
      </c>
      <c r="CM10" s="3"/>
      <c r="CN10" s="3"/>
      <c r="CO10" s="3"/>
      <c r="CP10" s="3">
        <v>20384</v>
      </c>
      <c r="CQ10" s="3"/>
      <c r="CR10" s="3"/>
      <c r="CS10" s="3"/>
      <c r="CT10" s="3">
        <v>583968</v>
      </c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>
        <v>5674</v>
      </c>
      <c r="DJ10" s="3"/>
      <c r="DK10" s="3"/>
      <c r="DL10" s="3"/>
      <c r="DM10" s="3"/>
      <c r="DN10" s="3"/>
      <c r="DO10" s="3"/>
      <c r="DP10" s="3"/>
      <c r="DQ10" s="3"/>
      <c r="DR10" s="3">
        <v>5695</v>
      </c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>
        <v>1798</v>
      </c>
      <c r="EM10" s="3"/>
      <c r="EN10" s="3"/>
      <c r="EO10" s="3"/>
      <c r="EP10" s="3">
        <v>2498</v>
      </c>
      <c r="EQ10" s="3"/>
      <c r="ER10" s="3"/>
      <c r="ES10" s="3"/>
      <c r="ET10" s="3"/>
      <c r="EU10" s="3"/>
      <c r="EV10" s="3">
        <v>35049</v>
      </c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>
        <v>20621</v>
      </c>
      <c r="GF10" s="3"/>
      <c r="GG10" s="3">
        <v>27281</v>
      </c>
      <c r="GL10" s="26"/>
      <c r="GM10" s="30">
        <v>28296</v>
      </c>
      <c r="GN10" s="1">
        <f t="shared" si="9"/>
        <v>34</v>
      </c>
    </row>
    <row r="11" spans="1:196" s="25" customFormat="1" x14ac:dyDescent="0.25">
      <c r="A11" s="18">
        <v>10</v>
      </c>
      <c r="B11" s="19">
        <v>29767</v>
      </c>
      <c r="C11" s="20">
        <v>2490014</v>
      </c>
      <c r="D11" s="20">
        <v>1954609</v>
      </c>
      <c r="E11" s="20">
        <v>17243</v>
      </c>
      <c r="F11" s="22">
        <v>0.01</v>
      </c>
      <c r="G11" s="23">
        <f t="shared" si="0"/>
        <v>0.78497912059932196</v>
      </c>
      <c r="H11" s="20">
        <f t="shared" si="1"/>
        <v>1937366</v>
      </c>
      <c r="I11" s="23">
        <f t="shared" si="2"/>
        <v>8.8217131917432082E-3</v>
      </c>
      <c r="J11" s="20">
        <f t="shared" si="3"/>
        <v>19373.66</v>
      </c>
      <c r="K11" s="20">
        <f t="shared" si="4"/>
        <v>31</v>
      </c>
      <c r="L11" s="20">
        <f t="shared" si="5"/>
        <v>10</v>
      </c>
      <c r="M11" s="20">
        <f t="shared" si="6"/>
        <v>21</v>
      </c>
      <c r="N11" s="20">
        <f t="shared" si="7"/>
        <v>99903</v>
      </c>
      <c r="O11" s="22">
        <f t="shared" si="8"/>
        <v>5.1566405108792041E-2</v>
      </c>
      <c r="P11" s="24"/>
      <c r="Q11" s="24">
        <v>708536</v>
      </c>
      <c r="R11" s="24"/>
      <c r="S11" s="24"/>
      <c r="T11" s="24"/>
      <c r="U11" s="24">
        <v>95232</v>
      </c>
      <c r="V11" s="24">
        <v>72312</v>
      </c>
      <c r="W11" s="24"/>
      <c r="X11" s="24">
        <v>17090</v>
      </c>
      <c r="Y11" s="24"/>
      <c r="Z11" s="24"/>
      <c r="AA11" s="24"/>
      <c r="AB11" s="24"/>
      <c r="AC11" s="24"/>
      <c r="AD11" s="24"/>
      <c r="AE11" s="24">
        <v>29837</v>
      </c>
      <c r="AF11" s="25">
        <v>503</v>
      </c>
      <c r="AI11" s="24">
        <v>64918</v>
      </c>
      <c r="AJ11" s="24"/>
      <c r="AK11" s="24"/>
      <c r="AL11" s="24"/>
      <c r="AM11" s="24">
        <v>1293</v>
      </c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>
        <v>3726</v>
      </c>
      <c r="BC11" s="25">
        <v>405</v>
      </c>
      <c r="BD11" s="25">
        <v>412</v>
      </c>
      <c r="BP11" s="24">
        <v>1228</v>
      </c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5">
        <v>400</v>
      </c>
      <c r="CH11" s="24">
        <v>4710</v>
      </c>
      <c r="CI11" s="24"/>
      <c r="CJ11" s="24">
        <v>5128</v>
      </c>
      <c r="CK11" s="24">
        <v>30600</v>
      </c>
      <c r="CL11" s="24"/>
      <c r="CM11" s="24"/>
      <c r="CN11" s="24"/>
      <c r="CO11" s="24"/>
      <c r="CP11" s="24">
        <v>11764</v>
      </c>
      <c r="CQ11" s="24"/>
      <c r="CS11" s="24">
        <v>11590</v>
      </c>
      <c r="CT11" s="24">
        <v>718941</v>
      </c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>
        <v>8304</v>
      </c>
      <c r="DF11" s="24">
        <v>44466</v>
      </c>
      <c r="DG11" s="24"/>
      <c r="DH11" s="24"/>
      <c r="DI11" s="24">
        <v>6992</v>
      </c>
      <c r="DJ11" s="24"/>
      <c r="DK11" s="24"/>
      <c r="DL11" s="24"/>
      <c r="DM11" s="24">
        <v>2596</v>
      </c>
      <c r="DN11" s="24"/>
      <c r="DO11" s="25">
        <v>460</v>
      </c>
      <c r="DP11" s="25">
        <v>545</v>
      </c>
      <c r="EV11" s="24">
        <v>10823</v>
      </c>
      <c r="EW11" s="24"/>
      <c r="EX11" s="24"/>
      <c r="EY11" s="24"/>
      <c r="EZ11" s="24"/>
      <c r="FA11" s="24"/>
      <c r="FB11" s="24"/>
      <c r="FC11" s="24"/>
      <c r="FD11" s="24"/>
      <c r="FE11" s="24"/>
      <c r="FF11" s="24"/>
      <c r="FG11" s="24"/>
      <c r="FH11" s="24"/>
      <c r="FI11" s="24"/>
      <c r="FJ11" s="24">
        <v>2404</v>
      </c>
      <c r="FK11" s="25">
        <v>839</v>
      </c>
      <c r="GE11" s="24">
        <v>27921</v>
      </c>
      <c r="GF11" s="24"/>
      <c r="GG11" s="24">
        <v>8691</v>
      </c>
      <c r="GH11" s="24"/>
      <c r="GI11" s="24"/>
      <c r="GJ11" s="24">
        <v>44700</v>
      </c>
      <c r="GL11" s="27"/>
      <c r="GM11" s="29">
        <v>29803</v>
      </c>
      <c r="GN11" s="25">
        <f t="shared" si="9"/>
        <v>36</v>
      </c>
    </row>
    <row r="12" spans="1:196" x14ac:dyDescent="0.25">
      <c r="A12" s="4">
        <v>11</v>
      </c>
      <c r="B12" s="9">
        <v>30886</v>
      </c>
      <c r="C12" s="10">
        <v>2654613</v>
      </c>
      <c r="D12" s="10">
        <v>2091402</v>
      </c>
      <c r="E12" s="10">
        <v>18081</v>
      </c>
      <c r="F12" s="11">
        <v>0.01</v>
      </c>
      <c r="G12" s="16">
        <f t="shared" si="0"/>
        <v>0.78783687113714884</v>
      </c>
      <c r="H12" s="10">
        <f t="shared" si="1"/>
        <v>2073321</v>
      </c>
      <c r="I12" s="16">
        <f t="shared" si="2"/>
        <v>8.6453967243026453E-3</v>
      </c>
      <c r="J12" s="10">
        <f t="shared" si="3"/>
        <v>20733.21</v>
      </c>
      <c r="K12" s="10">
        <f t="shared" si="4"/>
        <v>26</v>
      </c>
      <c r="L12" s="10">
        <f t="shared" si="5"/>
        <v>15</v>
      </c>
      <c r="M12" s="10">
        <f t="shared" si="6"/>
        <v>11</v>
      </c>
      <c r="N12" s="10">
        <f t="shared" si="7"/>
        <v>58978</v>
      </c>
      <c r="O12" s="11">
        <f t="shared" si="8"/>
        <v>2.8446149920827505E-2</v>
      </c>
      <c r="P12" s="3"/>
      <c r="Q12" s="3">
        <v>724074</v>
      </c>
      <c r="R12" s="3"/>
      <c r="S12" s="3"/>
      <c r="T12" s="3"/>
      <c r="U12" s="3">
        <v>73530</v>
      </c>
      <c r="V12" s="3">
        <v>36079</v>
      </c>
      <c r="W12" s="3"/>
      <c r="X12" s="3"/>
      <c r="Y12" s="3"/>
      <c r="Z12" s="3"/>
      <c r="AA12" s="3">
        <v>15348</v>
      </c>
      <c r="AB12" s="3"/>
      <c r="AC12" s="3"/>
      <c r="AD12" s="3"/>
      <c r="AE12" s="3">
        <v>54747</v>
      </c>
      <c r="AF12" s="3">
        <v>1472</v>
      </c>
      <c r="AG12" s="3"/>
      <c r="AH12" s="3"/>
      <c r="AI12" s="3">
        <v>69815</v>
      </c>
      <c r="AJ12" s="3"/>
      <c r="AK12" s="3"/>
      <c r="AL12" s="3"/>
      <c r="AM12" s="3">
        <v>5876</v>
      </c>
      <c r="AN12" s="3"/>
      <c r="AO12" s="1">
        <v>733</v>
      </c>
      <c r="AZ12" s="3">
        <v>46302</v>
      </c>
      <c r="BA12" s="3"/>
      <c r="BB12" s="3"/>
      <c r="BC12" s="3"/>
      <c r="BD12" s="3"/>
      <c r="BE12" s="3"/>
      <c r="BF12" s="3">
        <v>1415</v>
      </c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>
        <v>23845</v>
      </c>
      <c r="CC12" s="3"/>
      <c r="CD12" s="3"/>
      <c r="CE12" s="3"/>
      <c r="CF12" s="3"/>
      <c r="CG12" s="3"/>
      <c r="CH12" s="3">
        <v>4887</v>
      </c>
      <c r="CI12" s="3"/>
      <c r="CJ12" s="3">
        <v>25907</v>
      </c>
      <c r="CK12" s="3"/>
      <c r="CL12" s="3"/>
      <c r="CM12" s="3"/>
      <c r="CN12" s="3"/>
      <c r="CO12" s="3"/>
      <c r="CP12" s="3"/>
      <c r="CQ12" s="3"/>
      <c r="CR12" s="3"/>
      <c r="CS12" s="3"/>
      <c r="CT12" s="3">
        <v>661302</v>
      </c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>
        <v>31103</v>
      </c>
      <c r="DG12" s="3"/>
      <c r="DH12" s="3"/>
      <c r="DI12" s="3"/>
      <c r="DJ12" s="3"/>
      <c r="DK12" s="3"/>
      <c r="DL12" s="3"/>
      <c r="DM12" s="3"/>
      <c r="DN12" s="3"/>
      <c r="DO12" s="3">
        <v>5794</v>
      </c>
      <c r="DP12" s="3"/>
      <c r="DQ12" s="3"/>
      <c r="DR12" s="3"/>
      <c r="DS12" s="3"/>
      <c r="DT12" s="3"/>
      <c r="DU12" s="3"/>
      <c r="DV12" s="3">
        <v>3195</v>
      </c>
      <c r="DW12" s="3"/>
      <c r="DX12" s="3">
        <v>33287</v>
      </c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>
        <v>38012</v>
      </c>
      <c r="EM12" s="3"/>
      <c r="EN12" s="3"/>
      <c r="EO12" s="3"/>
      <c r="EP12" s="3">
        <v>12329</v>
      </c>
      <c r="EQ12" s="3"/>
      <c r="ER12" s="3"/>
      <c r="ES12" s="3"/>
      <c r="ET12" s="3"/>
      <c r="EU12" s="3"/>
      <c r="EV12" s="3">
        <v>2430</v>
      </c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>
        <v>49698</v>
      </c>
      <c r="GG12" s="3">
        <v>5499</v>
      </c>
      <c r="GH12" s="3">
        <v>63605</v>
      </c>
      <c r="GI12" s="3"/>
      <c r="GJ12" s="3">
        <v>83037</v>
      </c>
      <c r="GL12" s="26"/>
      <c r="GM12" s="28">
        <v>30938</v>
      </c>
      <c r="GN12" s="1">
        <f t="shared" si="9"/>
        <v>52</v>
      </c>
    </row>
    <row r="13" spans="1:196" s="25" customFormat="1" x14ac:dyDescent="0.25">
      <c r="A13" s="18">
        <v>12</v>
      </c>
      <c r="B13" s="19">
        <v>32448</v>
      </c>
      <c r="C13" s="20">
        <v>2894267</v>
      </c>
      <c r="D13" s="20">
        <v>2305567</v>
      </c>
      <c r="E13" s="20">
        <v>22444</v>
      </c>
      <c r="F13" s="22">
        <v>0.01</v>
      </c>
      <c r="G13" s="23">
        <f t="shared" si="0"/>
        <v>0.79659789508017054</v>
      </c>
      <c r="H13" s="20">
        <f t="shared" si="1"/>
        <v>2283123</v>
      </c>
      <c r="I13" s="23">
        <f t="shared" si="2"/>
        <v>9.7346986663150534E-3</v>
      </c>
      <c r="J13" s="20">
        <f t="shared" si="3"/>
        <v>22831.23</v>
      </c>
      <c r="K13" s="20">
        <f t="shared" si="4"/>
        <v>27</v>
      </c>
      <c r="L13" s="20">
        <f t="shared" si="5"/>
        <v>15</v>
      </c>
      <c r="M13" s="20">
        <f t="shared" si="6"/>
        <v>12</v>
      </c>
      <c r="N13" s="20">
        <f t="shared" si="7"/>
        <v>55505</v>
      </c>
      <c r="O13" s="22">
        <f t="shared" si="8"/>
        <v>2.431099857519722E-2</v>
      </c>
      <c r="P13" s="24"/>
      <c r="Q13" s="24">
        <v>685363</v>
      </c>
      <c r="R13" s="24"/>
      <c r="S13" s="24"/>
      <c r="T13" s="24"/>
      <c r="U13" s="24">
        <v>89720</v>
      </c>
      <c r="V13" s="24">
        <v>102714</v>
      </c>
      <c r="W13" s="24"/>
      <c r="X13" s="24"/>
      <c r="Y13" s="24"/>
      <c r="Z13" s="24"/>
      <c r="AA13" s="24"/>
      <c r="AB13" s="24"/>
      <c r="AC13" s="24"/>
      <c r="AD13" s="24"/>
      <c r="AE13" s="24">
        <v>39538</v>
      </c>
      <c r="AF13" s="24"/>
      <c r="AG13" s="24"/>
      <c r="AH13" s="24"/>
      <c r="AI13" s="24">
        <v>84032</v>
      </c>
      <c r="AJ13" s="24"/>
      <c r="AK13" s="24"/>
      <c r="AL13" s="24">
        <v>1579</v>
      </c>
      <c r="AM13" s="24"/>
      <c r="AN13" s="24"/>
      <c r="AO13" s="24"/>
      <c r="AP13" s="25">
        <v>446</v>
      </c>
      <c r="AS13" s="24">
        <v>1654</v>
      </c>
      <c r="AT13" s="24"/>
      <c r="AU13" s="24"/>
      <c r="AV13" s="24"/>
      <c r="AW13" s="24"/>
      <c r="AX13" s="24"/>
      <c r="AY13" s="24"/>
      <c r="AZ13" s="24">
        <v>44174</v>
      </c>
      <c r="BA13" s="24"/>
      <c r="BB13" s="24"/>
      <c r="BC13" s="24"/>
      <c r="BD13" s="24"/>
      <c r="BE13" s="24">
        <v>3222</v>
      </c>
      <c r="BF13" s="24"/>
      <c r="BG13" s="24">
        <v>4253</v>
      </c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5">
        <v>909</v>
      </c>
      <c r="CT13" s="24">
        <v>709305</v>
      </c>
      <c r="CU13" s="24">
        <v>15783</v>
      </c>
      <c r="CV13" s="24"/>
      <c r="CW13" s="24">
        <v>2838</v>
      </c>
      <c r="CX13" s="24">
        <v>56345</v>
      </c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4"/>
      <c r="DV13" s="24">
        <v>27012</v>
      </c>
      <c r="DW13" s="24"/>
      <c r="DX13" s="24"/>
      <c r="DY13" s="24"/>
      <c r="DZ13" s="24"/>
      <c r="EA13" s="24"/>
      <c r="EB13" s="24"/>
      <c r="EC13" s="24">
        <v>4182</v>
      </c>
      <c r="ED13" s="24">
        <v>34279</v>
      </c>
      <c r="EE13" s="24"/>
      <c r="EF13" s="24"/>
      <c r="EG13" s="24"/>
      <c r="EH13" s="24"/>
      <c r="EI13" s="24"/>
      <c r="EJ13" s="24"/>
      <c r="EK13" s="24"/>
      <c r="EL13" s="24">
        <v>33695</v>
      </c>
      <c r="EM13" s="24"/>
      <c r="EN13" s="24"/>
      <c r="EO13" s="24"/>
      <c r="EP13" s="24"/>
      <c r="EQ13" s="24"/>
      <c r="ER13" s="24"/>
      <c r="ES13" s="24"/>
      <c r="ET13" s="24"/>
      <c r="EU13" s="24"/>
      <c r="EV13" s="24"/>
      <c r="EW13" s="24">
        <v>45489</v>
      </c>
      <c r="EX13" s="24"/>
      <c r="EY13" s="24"/>
      <c r="EZ13" s="24"/>
      <c r="FA13" s="24"/>
      <c r="FB13" s="24"/>
      <c r="FC13" s="24"/>
      <c r="FD13" s="24"/>
      <c r="FE13" s="24"/>
      <c r="FF13" s="24"/>
      <c r="FG13" s="24"/>
      <c r="FH13" s="24"/>
      <c r="FI13" s="24"/>
      <c r="FJ13" s="24">
        <v>2947</v>
      </c>
      <c r="FK13" s="24"/>
      <c r="FL13" s="24"/>
      <c r="FM13" s="24"/>
      <c r="FN13" s="24">
        <v>1018</v>
      </c>
      <c r="FO13" s="24">
        <v>16674</v>
      </c>
      <c r="FP13" s="24"/>
      <c r="FQ13" s="24"/>
      <c r="FR13" s="24"/>
      <c r="FS13" s="24"/>
      <c r="FT13" s="24"/>
      <c r="FU13" s="24"/>
      <c r="FV13" s="24"/>
      <c r="FW13" s="24"/>
      <c r="FX13" s="24"/>
      <c r="FY13" s="24"/>
      <c r="FZ13" s="24"/>
      <c r="GA13" s="24"/>
      <c r="GB13" s="24"/>
      <c r="GC13" s="24"/>
      <c r="GD13" s="24"/>
      <c r="GE13" s="24">
        <v>97513</v>
      </c>
      <c r="GF13" s="24"/>
      <c r="GG13" s="24"/>
      <c r="GH13" s="24">
        <v>107709</v>
      </c>
      <c r="GI13" s="24"/>
      <c r="GJ13" s="24">
        <v>70730</v>
      </c>
      <c r="GL13" s="27"/>
      <c r="GM13" s="29">
        <v>32499</v>
      </c>
      <c r="GN13" s="25">
        <f t="shared" si="9"/>
        <v>51</v>
      </c>
    </row>
    <row r="14" spans="1:196" x14ac:dyDescent="0.25">
      <c r="A14" s="4">
        <v>13</v>
      </c>
      <c r="B14" s="9">
        <v>33778</v>
      </c>
      <c r="C14" s="10">
        <v>3409015</v>
      </c>
      <c r="D14" s="10">
        <v>2637943</v>
      </c>
      <c r="E14" s="10">
        <v>21102</v>
      </c>
      <c r="F14" s="11">
        <v>1.4999999999999999E-2</v>
      </c>
      <c r="G14" s="16">
        <f t="shared" si="0"/>
        <v>0.77381384358825056</v>
      </c>
      <c r="H14" s="10">
        <f t="shared" si="1"/>
        <v>2616841</v>
      </c>
      <c r="I14" s="16">
        <f t="shared" si="2"/>
        <v>7.9994146954653674E-3</v>
      </c>
      <c r="J14" s="10">
        <f t="shared" si="3"/>
        <v>39252.614999999998</v>
      </c>
      <c r="K14" s="10">
        <f t="shared" si="4"/>
        <v>25</v>
      </c>
      <c r="L14" s="10">
        <f t="shared" si="5"/>
        <v>10</v>
      </c>
      <c r="M14" s="10">
        <f t="shared" si="6"/>
        <v>15</v>
      </c>
      <c r="N14" s="10">
        <f t="shared" si="7"/>
        <v>130989</v>
      </c>
      <c r="O14" s="11">
        <f t="shared" si="8"/>
        <v>5.0056155494353688E-2</v>
      </c>
      <c r="P14" s="3"/>
      <c r="Q14" s="3">
        <v>906810</v>
      </c>
      <c r="R14" s="3"/>
      <c r="S14" s="3"/>
      <c r="T14" s="3"/>
      <c r="U14" s="3">
        <v>129663</v>
      </c>
      <c r="V14" s="3">
        <v>86167</v>
      </c>
      <c r="W14" s="3"/>
      <c r="X14" s="3">
        <v>11697</v>
      </c>
      <c r="Y14" s="3"/>
      <c r="Z14" s="3"/>
      <c r="AA14" s="3">
        <v>3750</v>
      </c>
      <c r="AB14" s="3"/>
      <c r="AC14" s="3"/>
      <c r="AD14" s="3"/>
      <c r="AE14" s="3"/>
      <c r="AF14" s="3"/>
      <c r="AG14" s="3"/>
      <c r="AH14" s="3"/>
      <c r="AI14" s="3">
        <v>62546</v>
      </c>
      <c r="AJ14" s="3"/>
      <c r="AK14" s="3"/>
      <c r="AL14" s="3"/>
      <c r="AM14" s="1">
        <v>523</v>
      </c>
      <c r="AZ14" s="3">
        <v>62269</v>
      </c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>
        <v>2053</v>
      </c>
      <c r="BN14" s="3">
        <v>3708</v>
      </c>
      <c r="BO14" s="3"/>
      <c r="BP14" s="3"/>
      <c r="BQ14" s="3"/>
      <c r="BR14" s="3">
        <v>1734</v>
      </c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>
        <v>1336</v>
      </c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>
        <v>651229</v>
      </c>
      <c r="CU14" s="3"/>
      <c r="CV14" s="3"/>
      <c r="CW14" s="3"/>
      <c r="CX14" s="3"/>
      <c r="CY14" s="3">
        <v>250667</v>
      </c>
      <c r="CZ14" s="3"/>
      <c r="DA14" s="3"/>
      <c r="DB14" s="3"/>
      <c r="DC14" s="3">
        <v>3355</v>
      </c>
      <c r="DD14" s="3">
        <v>5962</v>
      </c>
      <c r="DE14" s="3"/>
      <c r="DF14" s="3"/>
      <c r="DG14" s="3">
        <v>2886</v>
      </c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>
        <v>40788</v>
      </c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>
        <v>24181</v>
      </c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>
        <v>166366</v>
      </c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>
        <v>8327</v>
      </c>
      <c r="FJ14" s="3"/>
      <c r="FK14" s="3"/>
      <c r="FL14" s="3"/>
      <c r="FM14" s="3">
        <v>12851</v>
      </c>
      <c r="FN14" s="3"/>
      <c r="FO14" s="3"/>
      <c r="FP14" s="3">
        <v>16669</v>
      </c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>
        <v>129347</v>
      </c>
      <c r="GI14" s="3"/>
      <c r="GJ14" s="3">
        <v>31957</v>
      </c>
      <c r="GL14" s="26"/>
      <c r="GM14" s="28">
        <v>33798</v>
      </c>
      <c r="GN14" s="1">
        <f t="shared" si="9"/>
        <v>20</v>
      </c>
    </row>
    <row r="15" spans="1:196" s="25" customFormat="1" x14ac:dyDescent="0.25">
      <c r="A15" s="18">
        <v>14</v>
      </c>
      <c r="B15" s="19">
        <v>35214</v>
      </c>
      <c r="C15" s="20">
        <v>3933250</v>
      </c>
      <c r="D15" s="20">
        <v>3119832</v>
      </c>
      <c r="E15" s="20">
        <v>67702</v>
      </c>
      <c r="F15" s="22">
        <v>1.4999999999999999E-2</v>
      </c>
      <c r="G15" s="23">
        <f t="shared" si="0"/>
        <v>0.7931944320854255</v>
      </c>
      <c r="H15" s="20">
        <f t="shared" si="1"/>
        <v>3052130</v>
      </c>
      <c r="I15" s="23">
        <f t="shared" si="2"/>
        <v>2.170052746429936E-2</v>
      </c>
      <c r="J15" s="20">
        <f t="shared" si="3"/>
        <v>45781.95</v>
      </c>
      <c r="K15" s="20">
        <f t="shared" si="4"/>
        <v>20</v>
      </c>
      <c r="L15" s="20">
        <f t="shared" si="5"/>
        <v>11</v>
      </c>
      <c r="M15" s="20">
        <f t="shared" si="6"/>
        <v>9</v>
      </c>
      <c r="N15" s="20">
        <f t="shared" si="7"/>
        <v>78550</v>
      </c>
      <c r="O15" s="22">
        <f t="shared" si="8"/>
        <v>2.5736125263340685E-2</v>
      </c>
      <c r="P15" s="24"/>
      <c r="Q15" s="24">
        <v>818741</v>
      </c>
      <c r="R15" s="24"/>
      <c r="S15" s="24"/>
      <c r="T15" s="24"/>
      <c r="U15" s="24">
        <v>240271</v>
      </c>
      <c r="V15" s="24">
        <v>98657</v>
      </c>
      <c r="W15" s="24"/>
      <c r="X15" s="24">
        <v>1351</v>
      </c>
      <c r="Y15" s="24">
        <v>5533</v>
      </c>
      <c r="Z15" s="24"/>
      <c r="AA15" s="24"/>
      <c r="AB15" s="24"/>
      <c r="AC15" s="24">
        <v>96474</v>
      </c>
      <c r="AD15" s="24"/>
      <c r="AE15" s="24"/>
      <c r="AF15" s="24"/>
      <c r="AG15" s="24"/>
      <c r="AH15" s="24"/>
      <c r="AI15" s="24">
        <v>129455</v>
      </c>
      <c r="AJ15" s="24"/>
      <c r="AK15" s="24"/>
      <c r="AL15" s="24">
        <v>2338</v>
      </c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>
        <v>72002</v>
      </c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>
        <v>2845</v>
      </c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>
        <v>174994</v>
      </c>
      <c r="CL15" s="24"/>
      <c r="CM15" s="24"/>
      <c r="CN15" s="24"/>
      <c r="CO15" s="24"/>
      <c r="CP15" s="24"/>
      <c r="CQ15" s="24"/>
      <c r="CR15" s="24"/>
      <c r="CS15" s="24"/>
      <c r="CT15" s="24">
        <v>767401</v>
      </c>
      <c r="CU15" s="24"/>
      <c r="CV15" s="24"/>
      <c r="CW15" s="24"/>
      <c r="CX15" s="24"/>
      <c r="CY15" s="24">
        <v>226275</v>
      </c>
      <c r="CZ15" s="24"/>
      <c r="DA15" s="24"/>
      <c r="DB15" s="24"/>
      <c r="DC15" s="24">
        <v>2087</v>
      </c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4"/>
      <c r="DV15" s="24">
        <v>89514</v>
      </c>
      <c r="DW15" s="24"/>
      <c r="DX15" s="24"/>
      <c r="DY15" s="24"/>
      <c r="DZ15" s="24"/>
      <c r="EA15" s="24"/>
      <c r="EB15" s="24"/>
      <c r="EC15" s="24"/>
      <c r="ED15" s="24"/>
      <c r="EE15" s="24"/>
      <c r="EF15" s="24"/>
      <c r="EG15" s="24"/>
      <c r="EH15" s="24"/>
      <c r="EI15" s="24"/>
      <c r="EJ15" s="24"/>
      <c r="EK15" s="24">
        <v>14935</v>
      </c>
      <c r="EL15" s="24"/>
      <c r="EM15" s="24">
        <v>13983</v>
      </c>
      <c r="EN15" s="24"/>
      <c r="EO15" s="24"/>
      <c r="EP15" s="24"/>
      <c r="EQ15" s="24"/>
      <c r="ER15" s="24"/>
      <c r="ES15" s="24"/>
      <c r="ET15" s="24"/>
      <c r="EU15" s="24"/>
      <c r="EV15" s="24"/>
      <c r="EW15" s="24"/>
      <c r="EX15" s="24"/>
      <c r="EY15" s="24"/>
      <c r="EZ15" s="24"/>
      <c r="FA15" s="24"/>
      <c r="FB15" s="24"/>
      <c r="FC15" s="24"/>
      <c r="FD15" s="24"/>
      <c r="FE15" s="24"/>
      <c r="FF15" s="24"/>
      <c r="FG15" s="24"/>
      <c r="FH15" s="24"/>
      <c r="FI15" s="24">
        <v>22741</v>
      </c>
      <c r="FJ15" s="24"/>
      <c r="FK15" s="24"/>
      <c r="FL15" s="24"/>
      <c r="FM15" s="24"/>
      <c r="FN15" s="24"/>
      <c r="FO15" s="24"/>
      <c r="FP15" s="24"/>
      <c r="FQ15" s="24"/>
      <c r="FR15" s="24"/>
      <c r="FS15" s="24"/>
      <c r="FT15" s="24"/>
      <c r="FU15" s="24"/>
      <c r="FV15" s="24"/>
      <c r="FW15" s="24"/>
      <c r="FX15" s="24"/>
      <c r="FY15" s="24"/>
      <c r="FZ15" s="24"/>
      <c r="GA15" s="24"/>
      <c r="GB15" s="24"/>
      <c r="GC15" s="24"/>
      <c r="GD15" s="24"/>
      <c r="GE15" s="24"/>
      <c r="GF15" s="24"/>
      <c r="GG15" s="24"/>
      <c r="GH15" s="24">
        <v>259796</v>
      </c>
      <c r="GI15" s="24"/>
      <c r="GJ15" s="24"/>
      <c r="GK15" s="24">
        <v>12737</v>
      </c>
      <c r="GL15" s="27"/>
      <c r="GM15" s="29">
        <v>35234</v>
      </c>
      <c r="GN15" s="25">
        <f t="shared" si="9"/>
        <v>20</v>
      </c>
    </row>
    <row r="16" spans="1:196" x14ac:dyDescent="0.25">
      <c r="A16" s="4">
        <v>15</v>
      </c>
      <c r="B16" s="9">
        <v>36297</v>
      </c>
      <c r="C16" s="10">
        <v>4285428</v>
      </c>
      <c r="D16" s="10">
        <v>3373748</v>
      </c>
      <c r="E16" s="10">
        <v>64332</v>
      </c>
      <c r="F16" s="11">
        <v>1.4999999999999999E-2</v>
      </c>
      <c r="G16" s="16">
        <f t="shared" si="0"/>
        <v>0.78726045566510505</v>
      </c>
      <c r="H16" s="10">
        <f t="shared" si="1"/>
        <v>3309416</v>
      </c>
      <c r="I16" s="16">
        <f t="shared" si="2"/>
        <v>1.9068407006095297E-2</v>
      </c>
      <c r="J16" s="10">
        <f t="shared" si="3"/>
        <v>49641.24</v>
      </c>
      <c r="K16" s="10">
        <f t="shared" si="4"/>
        <v>31</v>
      </c>
      <c r="L16" s="10">
        <f t="shared" si="5"/>
        <v>15</v>
      </c>
      <c r="M16" s="10">
        <f t="shared" si="6"/>
        <v>16</v>
      </c>
      <c r="N16" s="10">
        <f t="shared" si="7"/>
        <v>197093</v>
      </c>
      <c r="O16" s="11">
        <f t="shared" si="8"/>
        <v>5.9555220618985341E-2</v>
      </c>
      <c r="P16" s="3"/>
      <c r="Q16" s="3">
        <v>670484</v>
      </c>
      <c r="R16" s="3"/>
      <c r="S16" s="3"/>
      <c r="T16" s="3"/>
      <c r="U16" s="3">
        <v>140307</v>
      </c>
      <c r="V16" s="3">
        <v>125741</v>
      </c>
      <c r="W16" s="3"/>
      <c r="X16" s="3">
        <v>66103</v>
      </c>
      <c r="Y16" s="3"/>
      <c r="Z16" s="3"/>
      <c r="AA16" s="3"/>
      <c r="AB16" s="3"/>
      <c r="AC16" s="3">
        <v>26290</v>
      </c>
      <c r="AD16" s="3"/>
      <c r="AE16" s="3"/>
      <c r="AF16" s="3"/>
      <c r="AG16" s="3"/>
      <c r="AH16" s="3"/>
      <c r="AI16" s="3">
        <v>87022</v>
      </c>
      <c r="AJ16" s="3"/>
      <c r="AK16" s="3"/>
      <c r="AL16" s="3">
        <v>1257</v>
      </c>
      <c r="AM16" s="3"/>
      <c r="AN16" s="3"/>
      <c r="AO16" s="3">
        <v>1164</v>
      </c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>
        <v>100181</v>
      </c>
      <c r="BQ16" s="3"/>
      <c r="BR16" s="3">
        <v>6311</v>
      </c>
      <c r="BS16" s="3"/>
      <c r="BT16" s="3"/>
      <c r="BU16" s="3"/>
      <c r="BV16" s="3"/>
      <c r="BW16" s="3"/>
      <c r="BX16" s="3"/>
      <c r="BY16" s="3"/>
      <c r="BZ16" s="3"/>
      <c r="CA16" s="3"/>
      <c r="CB16" s="3">
        <v>167748</v>
      </c>
      <c r="CC16" s="3"/>
      <c r="CD16" s="3"/>
      <c r="CE16" s="3"/>
      <c r="CF16" s="3"/>
      <c r="CG16" s="3"/>
      <c r="CH16" s="3"/>
      <c r="CI16" s="3"/>
      <c r="CJ16" s="3"/>
      <c r="CK16" s="3">
        <v>171705</v>
      </c>
      <c r="CL16" s="3"/>
      <c r="CM16" s="3"/>
      <c r="CN16" s="3"/>
      <c r="CO16" s="3">
        <v>86153</v>
      </c>
      <c r="CP16" s="3"/>
      <c r="CQ16" s="3"/>
      <c r="CR16" s="3">
        <v>64143</v>
      </c>
      <c r="CS16" s="3"/>
      <c r="CT16" s="3">
        <v>468103</v>
      </c>
      <c r="CU16" s="3"/>
      <c r="CV16" s="3"/>
      <c r="CW16" s="3"/>
      <c r="CX16" s="3"/>
      <c r="CY16" s="3">
        <v>253525</v>
      </c>
      <c r="CZ16" s="3"/>
      <c r="DA16" s="3"/>
      <c r="DB16" s="3"/>
      <c r="DC16" s="3">
        <v>2797</v>
      </c>
      <c r="DD16" s="3"/>
      <c r="DE16" s="3"/>
      <c r="DF16" s="3"/>
      <c r="DG16" s="3"/>
      <c r="DH16" s="3"/>
      <c r="DI16" s="3"/>
      <c r="DJ16" s="3"/>
      <c r="DK16" s="3"/>
      <c r="DL16" s="3">
        <v>4324</v>
      </c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>
        <v>114810</v>
      </c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>
        <v>44953</v>
      </c>
      <c r="EM16" s="3"/>
      <c r="EN16" s="3"/>
      <c r="EO16" s="3">
        <v>165622</v>
      </c>
      <c r="EP16" s="3">
        <v>37525</v>
      </c>
      <c r="EQ16" s="3"/>
      <c r="ER16" s="3"/>
      <c r="ES16" s="3"/>
      <c r="ET16" s="3"/>
      <c r="EU16" s="3"/>
      <c r="EV16" s="3"/>
      <c r="EW16" s="3">
        <v>4128</v>
      </c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>
        <v>6540</v>
      </c>
      <c r="FK16" s="3"/>
      <c r="FL16" s="3"/>
      <c r="FM16" s="3"/>
      <c r="FN16" s="3">
        <v>2151</v>
      </c>
      <c r="FO16" s="3"/>
      <c r="FP16" s="3"/>
      <c r="FQ16" s="3">
        <v>34029</v>
      </c>
      <c r="FR16" s="3"/>
      <c r="FS16" s="3">
        <v>2042</v>
      </c>
      <c r="FT16" s="3">
        <v>7366</v>
      </c>
      <c r="FU16" s="3"/>
      <c r="FV16" s="3"/>
      <c r="FW16" s="3"/>
      <c r="FX16" s="3"/>
      <c r="FY16" s="3"/>
      <c r="FZ16" s="3"/>
      <c r="GA16" s="3">
        <v>2924</v>
      </c>
      <c r="GB16" s="3"/>
      <c r="GC16" s="3"/>
      <c r="GF16" s="3">
        <v>13292</v>
      </c>
      <c r="GG16" s="3"/>
      <c r="GH16" s="3">
        <v>430676</v>
      </c>
      <c r="GI16" s="3"/>
      <c r="GL16" s="26"/>
      <c r="GM16" s="28">
        <v>36347</v>
      </c>
      <c r="GN16" s="1">
        <f t="shared" si="9"/>
        <v>50</v>
      </c>
    </row>
    <row r="17" spans="1:196" s="25" customFormat="1" x14ac:dyDescent="0.25">
      <c r="A17" s="18">
        <v>16</v>
      </c>
      <c r="B17" s="19">
        <v>37649</v>
      </c>
      <c r="C17" s="20">
        <v>4720075</v>
      </c>
      <c r="D17" s="20">
        <v>3200773</v>
      </c>
      <c r="E17" s="20">
        <v>52409</v>
      </c>
      <c r="F17" s="22">
        <v>1.4999999999999999E-2</v>
      </c>
      <c r="G17" s="23">
        <f t="shared" si="0"/>
        <v>0.67811909768382916</v>
      </c>
      <c r="H17" s="20">
        <f t="shared" si="1"/>
        <v>3148364</v>
      </c>
      <c r="I17" s="23">
        <f t="shared" si="2"/>
        <v>1.637385719012251E-2</v>
      </c>
      <c r="J17" s="20">
        <f t="shared" si="3"/>
        <v>47225.46</v>
      </c>
      <c r="K17" s="20">
        <f t="shared" si="4"/>
        <v>27</v>
      </c>
      <c r="L17" s="20">
        <f t="shared" si="5"/>
        <v>13</v>
      </c>
      <c r="M17" s="20">
        <f t="shared" si="6"/>
        <v>14</v>
      </c>
      <c r="N17" s="20">
        <f t="shared" si="7"/>
        <v>131740</v>
      </c>
      <c r="O17" s="22">
        <f t="shared" si="8"/>
        <v>4.1843954510977763E-2</v>
      </c>
      <c r="P17" s="24"/>
      <c r="Q17" s="24">
        <v>455183</v>
      </c>
      <c r="R17" s="24"/>
      <c r="S17" s="24"/>
      <c r="T17" s="24"/>
      <c r="U17" s="24">
        <v>132370</v>
      </c>
      <c r="V17" s="24">
        <v>135087</v>
      </c>
      <c r="W17" s="24"/>
      <c r="X17" s="24">
        <v>71299</v>
      </c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>
        <v>93819</v>
      </c>
      <c r="AJ17" s="24"/>
      <c r="AK17" s="24"/>
      <c r="AL17" s="25">
        <v>894</v>
      </c>
      <c r="AR17" s="24">
        <v>5468</v>
      </c>
      <c r="AS17" s="24"/>
      <c r="AT17" s="24"/>
      <c r="AU17" s="24"/>
      <c r="AV17" s="24"/>
      <c r="AW17" s="24"/>
      <c r="AX17" s="24"/>
      <c r="AY17" s="24"/>
      <c r="AZ17" s="24">
        <v>1284</v>
      </c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>
        <v>386535</v>
      </c>
      <c r="CC17" s="24"/>
      <c r="CD17" s="24"/>
      <c r="CE17" s="24"/>
      <c r="CF17" s="24"/>
      <c r="CG17" s="24"/>
      <c r="CH17" s="24"/>
      <c r="CI17" s="24"/>
      <c r="CJ17" s="24"/>
      <c r="CK17" s="24">
        <v>67719</v>
      </c>
      <c r="CL17" s="24"/>
      <c r="CM17" s="24"/>
      <c r="CN17" s="24"/>
      <c r="CO17" s="24">
        <v>173973</v>
      </c>
      <c r="CP17" s="24"/>
      <c r="CQ17" s="24"/>
      <c r="CR17" s="24">
        <v>86808</v>
      </c>
      <c r="CS17" s="24"/>
      <c r="CT17" s="24">
        <v>925279</v>
      </c>
      <c r="CU17" s="24"/>
      <c r="CV17" s="24"/>
      <c r="CW17" s="24"/>
      <c r="CX17" s="24"/>
      <c r="CY17" s="24">
        <v>164122</v>
      </c>
      <c r="CZ17" s="24"/>
      <c r="DA17" s="24"/>
      <c r="DB17" s="24"/>
      <c r="DC17" s="24">
        <v>7144</v>
      </c>
      <c r="DD17" s="24"/>
      <c r="DE17" s="24"/>
      <c r="DF17" s="24"/>
      <c r="DG17" s="24"/>
      <c r="DH17" s="24"/>
      <c r="DI17" s="24"/>
      <c r="DJ17" s="24"/>
      <c r="DK17" s="24"/>
      <c r="DL17" s="24">
        <v>36202</v>
      </c>
      <c r="DM17" s="24"/>
      <c r="DN17" s="24"/>
      <c r="DO17" s="24"/>
      <c r="DP17" s="24"/>
      <c r="DQ17" s="24"/>
      <c r="DR17" s="24"/>
      <c r="DS17" s="24"/>
      <c r="DT17" s="24"/>
      <c r="DU17" s="24"/>
      <c r="DV17" s="24"/>
      <c r="DW17" s="24"/>
      <c r="DX17" s="24"/>
      <c r="DY17" s="24"/>
      <c r="DZ17" s="24">
        <v>65551</v>
      </c>
      <c r="EA17" s="24"/>
      <c r="EB17" s="24"/>
      <c r="EC17" s="24"/>
      <c r="ED17" s="24"/>
      <c r="EE17" s="24"/>
      <c r="EF17" s="25">
        <v>833</v>
      </c>
      <c r="EO17" s="24">
        <v>1961</v>
      </c>
      <c r="EP17" s="24"/>
      <c r="EQ17" s="24"/>
      <c r="ER17" s="24"/>
      <c r="ES17" s="24"/>
      <c r="ET17" s="24"/>
      <c r="EU17" s="24"/>
      <c r="EV17" s="24"/>
      <c r="EW17" s="24"/>
      <c r="EX17" s="24"/>
      <c r="EY17" s="24"/>
      <c r="EZ17" s="24">
        <v>2023</v>
      </c>
      <c r="FA17" s="24"/>
      <c r="FB17" s="24"/>
      <c r="FC17" s="24"/>
      <c r="FD17" s="24"/>
      <c r="FE17" s="24"/>
      <c r="FF17" s="24">
        <v>20571</v>
      </c>
      <c r="FG17" s="24"/>
      <c r="FH17" s="24"/>
      <c r="FI17" s="24">
        <v>1925</v>
      </c>
      <c r="FJ17" s="24"/>
      <c r="FK17" s="24"/>
      <c r="FL17" s="24">
        <v>1566</v>
      </c>
      <c r="FM17" s="24"/>
      <c r="FN17" s="24"/>
      <c r="FO17" s="24"/>
      <c r="FP17" s="24"/>
      <c r="FQ17" s="24">
        <v>37855</v>
      </c>
      <c r="FR17" s="24"/>
      <c r="FS17" s="24"/>
      <c r="FT17" s="24">
        <v>1181</v>
      </c>
      <c r="FU17" s="24"/>
      <c r="FV17" s="24"/>
      <c r="FW17" s="24"/>
      <c r="FX17" s="24"/>
      <c r="FY17" s="24"/>
      <c r="FZ17" s="24"/>
      <c r="GA17" s="24"/>
      <c r="GB17" s="24"/>
      <c r="GC17" s="24"/>
      <c r="GD17" s="24"/>
      <c r="GE17" s="24"/>
      <c r="GF17" s="24">
        <v>12833</v>
      </c>
      <c r="GG17" s="24"/>
      <c r="GH17" s="24">
        <v>258879</v>
      </c>
      <c r="GI17" s="24"/>
      <c r="GL17" s="27"/>
      <c r="GM17" s="29">
        <v>37680</v>
      </c>
      <c r="GN17" s="25">
        <f t="shared" si="9"/>
        <v>31</v>
      </c>
    </row>
    <row r="18" spans="1:196" x14ac:dyDescent="0.25">
      <c r="A18" s="4">
        <v>17</v>
      </c>
      <c r="B18" s="9">
        <v>38804</v>
      </c>
      <c r="C18" s="10">
        <v>5014622</v>
      </c>
      <c r="D18" s="10">
        <v>3186739</v>
      </c>
      <c r="E18" s="10">
        <v>49675</v>
      </c>
      <c r="F18" s="11">
        <v>0.02</v>
      </c>
      <c r="G18" s="16">
        <f t="shared" si="0"/>
        <v>0.63548937487212398</v>
      </c>
      <c r="H18" s="10">
        <f t="shared" si="1"/>
        <v>3137064</v>
      </c>
      <c r="I18" s="16">
        <f t="shared" si="2"/>
        <v>1.5588035292504344E-2</v>
      </c>
      <c r="J18" s="10">
        <f t="shared" si="3"/>
        <v>62741.279999999999</v>
      </c>
      <c r="K18" s="10">
        <f t="shared" si="4"/>
        <v>31</v>
      </c>
      <c r="L18" s="10">
        <f t="shared" si="5"/>
        <v>12</v>
      </c>
      <c r="M18" s="10">
        <f t="shared" si="6"/>
        <v>19</v>
      </c>
      <c r="N18" s="10">
        <f t="shared" si="7"/>
        <v>182688</v>
      </c>
      <c r="O18" s="11">
        <f t="shared" si="8"/>
        <v>5.8235343620659318E-2</v>
      </c>
      <c r="P18" s="3"/>
      <c r="Q18" s="3">
        <v>472366</v>
      </c>
      <c r="R18" s="3"/>
      <c r="S18" s="3"/>
      <c r="T18" s="3"/>
      <c r="U18" s="3"/>
      <c r="V18" s="3">
        <v>147091</v>
      </c>
      <c r="W18" s="3"/>
      <c r="X18" s="3">
        <v>72066</v>
      </c>
      <c r="Y18" s="3"/>
      <c r="Z18" s="3"/>
      <c r="AA18" s="3"/>
      <c r="AB18" s="3">
        <v>2011</v>
      </c>
      <c r="AC18" s="3"/>
      <c r="AD18" s="3"/>
      <c r="AE18" s="3"/>
      <c r="AF18" s="3"/>
      <c r="AG18" s="3"/>
      <c r="AH18" s="3"/>
      <c r="AI18" s="3">
        <v>86092</v>
      </c>
      <c r="AJ18" s="3"/>
      <c r="AK18" s="3"/>
      <c r="AL18" s="3">
        <v>1381</v>
      </c>
      <c r="AM18" s="3">
        <v>14005</v>
      </c>
      <c r="AN18" s="3"/>
      <c r="AO18" s="3">
        <v>185759</v>
      </c>
      <c r="AP18" s="3"/>
      <c r="AQ18" s="3"/>
      <c r="AR18" s="3"/>
      <c r="AS18" s="3"/>
      <c r="AT18" s="3"/>
      <c r="AU18" s="3"/>
      <c r="AV18" s="3"/>
      <c r="AW18" s="3"/>
      <c r="AX18" s="3"/>
      <c r="AY18" s="3">
        <v>10113</v>
      </c>
      <c r="AZ18" s="3"/>
      <c r="BA18" s="3">
        <v>224083</v>
      </c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>
        <v>4675</v>
      </c>
      <c r="CC18" s="3"/>
      <c r="CD18" s="3"/>
      <c r="CE18" s="3">
        <v>24824</v>
      </c>
      <c r="CF18" s="3"/>
      <c r="CG18" s="3"/>
      <c r="CH18" s="3"/>
      <c r="CI18" s="3"/>
      <c r="CJ18" s="3"/>
      <c r="CK18" s="3">
        <v>690901</v>
      </c>
      <c r="CL18" s="3"/>
      <c r="CN18" s="3">
        <v>1342</v>
      </c>
      <c r="CO18" s="3">
        <v>281880</v>
      </c>
      <c r="CP18" s="3"/>
      <c r="CQ18" s="3"/>
      <c r="CR18" s="3"/>
      <c r="CS18" s="3"/>
      <c r="CT18" s="3">
        <v>281996</v>
      </c>
      <c r="CU18" s="3"/>
      <c r="CV18" s="3"/>
      <c r="CW18" s="3"/>
      <c r="CX18" s="3"/>
      <c r="CY18" s="3">
        <v>118302</v>
      </c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>
        <v>2387</v>
      </c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>
        <v>94786</v>
      </c>
      <c r="EA18" s="3"/>
      <c r="EB18" s="3"/>
      <c r="EC18" s="3"/>
      <c r="ED18" s="3"/>
      <c r="EE18" s="3"/>
      <c r="EF18" s="1">
        <v>580</v>
      </c>
      <c r="EL18" s="3">
        <v>18753</v>
      </c>
      <c r="EM18" s="3"/>
      <c r="EN18" s="3"/>
      <c r="EO18" s="3"/>
      <c r="EP18" s="3">
        <v>1765</v>
      </c>
      <c r="EQ18" s="3"/>
      <c r="ER18" s="3">
        <v>1214</v>
      </c>
      <c r="ES18" s="3"/>
      <c r="ET18" s="3">
        <v>2163</v>
      </c>
      <c r="EU18" s="3"/>
      <c r="EV18" s="3"/>
      <c r="EW18" s="3"/>
      <c r="EX18" s="3"/>
      <c r="EY18" s="3"/>
      <c r="EZ18" s="3"/>
      <c r="FA18" s="3">
        <v>1278</v>
      </c>
      <c r="FB18" s="3"/>
      <c r="FC18" s="3"/>
      <c r="FD18" s="3"/>
      <c r="FE18" s="3"/>
      <c r="FF18" s="3"/>
      <c r="FG18" s="3"/>
      <c r="FH18" s="3"/>
      <c r="FI18" s="3">
        <v>3692</v>
      </c>
      <c r="FJ18" s="3">
        <v>3819</v>
      </c>
      <c r="FK18" s="3"/>
      <c r="FQ18" s="3">
        <v>40353</v>
      </c>
      <c r="FR18" s="3"/>
      <c r="FS18" s="1">
        <v>738</v>
      </c>
      <c r="GF18" s="3">
        <v>47595</v>
      </c>
      <c r="GG18" s="3"/>
      <c r="GH18" s="3">
        <v>299054</v>
      </c>
      <c r="GI18" s="3"/>
      <c r="GL18" s="26"/>
      <c r="GM18" s="28">
        <v>38841</v>
      </c>
      <c r="GN18" s="1">
        <f t="shared" si="9"/>
        <v>37</v>
      </c>
    </row>
    <row r="19" spans="1:196" s="25" customFormat="1" x14ac:dyDescent="0.25">
      <c r="A19" s="18">
        <v>18</v>
      </c>
      <c r="B19" s="19">
        <v>39868</v>
      </c>
      <c r="C19" s="20">
        <v>5278985</v>
      </c>
      <c r="D19" s="20">
        <v>3423174</v>
      </c>
      <c r="E19" s="20">
        <v>49684</v>
      </c>
      <c r="F19" s="22">
        <v>0.02</v>
      </c>
      <c r="G19" s="23">
        <f t="shared" si="0"/>
        <v>0.64845306436748729</v>
      </c>
      <c r="H19" s="20">
        <f t="shared" si="1"/>
        <v>3373490</v>
      </c>
      <c r="I19" s="23">
        <f t="shared" si="2"/>
        <v>1.451401535533981E-2</v>
      </c>
      <c r="J19" s="20">
        <f t="shared" si="3"/>
        <v>67469.8</v>
      </c>
      <c r="K19" s="20">
        <f t="shared" si="4"/>
        <v>33</v>
      </c>
      <c r="L19" s="20">
        <f t="shared" si="5"/>
        <v>12</v>
      </c>
      <c r="M19" s="20">
        <f t="shared" si="6"/>
        <v>21</v>
      </c>
      <c r="N19" s="20">
        <f t="shared" si="7"/>
        <v>103904</v>
      </c>
      <c r="O19" s="22">
        <f t="shared" si="8"/>
        <v>3.0800150585891761E-2</v>
      </c>
      <c r="P19" s="24"/>
      <c r="Q19" s="24">
        <v>334900</v>
      </c>
      <c r="R19" s="24"/>
      <c r="S19" s="24">
        <v>815</v>
      </c>
      <c r="T19" s="24"/>
      <c r="U19" s="24">
        <v>96765</v>
      </c>
      <c r="V19" s="24">
        <v>147954</v>
      </c>
      <c r="W19" s="24"/>
      <c r="X19" s="24">
        <v>83739</v>
      </c>
      <c r="Y19" s="24"/>
      <c r="Z19" s="24"/>
      <c r="AA19" s="24"/>
      <c r="AB19" s="24">
        <v>27737</v>
      </c>
      <c r="AC19" s="24"/>
      <c r="AD19" s="24"/>
      <c r="AE19" s="24"/>
      <c r="AF19" s="24"/>
      <c r="AG19" s="24"/>
      <c r="AH19" s="24"/>
      <c r="AI19" s="24">
        <v>112130</v>
      </c>
      <c r="AJ19" s="24"/>
      <c r="AK19" s="24"/>
      <c r="AL19" s="24"/>
      <c r="AM19" s="24"/>
      <c r="AN19" s="24"/>
      <c r="AO19" s="24">
        <v>17571</v>
      </c>
      <c r="AP19" s="24"/>
      <c r="AQ19" s="24"/>
      <c r="AR19" s="24"/>
      <c r="AS19" s="24"/>
      <c r="AT19" s="24"/>
      <c r="AU19" s="24"/>
      <c r="AV19" s="24">
        <v>6722</v>
      </c>
      <c r="AW19" s="24"/>
      <c r="AX19" s="24"/>
      <c r="AY19" s="24"/>
      <c r="AZ19" s="24">
        <v>112570</v>
      </c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>
        <v>856</v>
      </c>
      <c r="BS19" s="24"/>
      <c r="BT19" s="24"/>
      <c r="BU19" s="24">
        <v>632</v>
      </c>
      <c r="BV19" s="24"/>
      <c r="BW19" s="24"/>
      <c r="BX19" s="24"/>
      <c r="BY19" s="24"/>
      <c r="BZ19" s="24">
        <v>2346</v>
      </c>
      <c r="CA19" s="24"/>
      <c r="CB19" s="24"/>
      <c r="CC19" s="24"/>
      <c r="CD19" s="24"/>
      <c r="CE19" s="24"/>
      <c r="CF19" s="24"/>
      <c r="CG19" s="24"/>
      <c r="CH19" s="24"/>
      <c r="CI19" s="24"/>
      <c r="CJ19" s="24"/>
      <c r="CK19" s="24">
        <v>758032</v>
      </c>
      <c r="CL19" s="24"/>
      <c r="CM19" s="24"/>
      <c r="CN19" s="24"/>
      <c r="CO19" s="24">
        <v>394577</v>
      </c>
      <c r="CP19" s="24"/>
      <c r="CQ19" s="24"/>
      <c r="CR19" s="24"/>
      <c r="CS19" s="24"/>
      <c r="CT19" s="24">
        <v>729054</v>
      </c>
      <c r="CU19" s="24"/>
      <c r="CV19" s="24"/>
      <c r="CW19" s="24"/>
      <c r="CX19" s="24"/>
      <c r="CY19" s="24">
        <v>99611</v>
      </c>
      <c r="CZ19" s="24"/>
      <c r="DA19" s="24"/>
      <c r="DB19" s="24"/>
      <c r="DC19" s="24">
        <v>2572</v>
      </c>
      <c r="DD19" s="24"/>
      <c r="DE19" s="24"/>
      <c r="DF19" s="24"/>
      <c r="DG19" s="24"/>
      <c r="DH19" s="24"/>
      <c r="DI19" s="24"/>
      <c r="DJ19" s="24"/>
      <c r="DK19" s="24">
        <v>802</v>
      </c>
      <c r="DL19" s="24">
        <v>623</v>
      </c>
      <c r="DM19" s="24"/>
      <c r="DN19" s="24">
        <v>611</v>
      </c>
      <c r="DO19" s="24"/>
      <c r="DP19" s="24"/>
      <c r="DQ19" s="24"/>
      <c r="DR19" s="24"/>
      <c r="DS19" s="24"/>
      <c r="DT19" s="24"/>
      <c r="DU19" s="24"/>
      <c r="DV19" s="24"/>
      <c r="DW19" s="24"/>
      <c r="DX19" s="24"/>
      <c r="DY19" s="24"/>
      <c r="DZ19" s="24">
        <v>113954</v>
      </c>
      <c r="EA19" s="24"/>
      <c r="EB19" s="24"/>
      <c r="EC19" s="24"/>
      <c r="ED19" s="24"/>
      <c r="EE19" s="24"/>
      <c r="EF19" s="24"/>
      <c r="EG19" s="24"/>
      <c r="EH19" s="24"/>
      <c r="EI19" s="24"/>
      <c r="EJ19" s="24"/>
      <c r="EK19" s="24"/>
      <c r="EL19" s="24">
        <v>3696</v>
      </c>
      <c r="EM19" s="24"/>
      <c r="EN19" s="24"/>
      <c r="EO19" s="24"/>
      <c r="EP19" s="24"/>
      <c r="EQ19" s="24">
        <v>678</v>
      </c>
      <c r="ER19" s="24"/>
      <c r="ES19" s="24"/>
      <c r="ET19" s="24"/>
      <c r="EU19" s="24">
        <v>921</v>
      </c>
      <c r="EV19" s="24"/>
      <c r="EW19" s="24">
        <v>1520</v>
      </c>
      <c r="EX19" s="24"/>
      <c r="EY19" s="24"/>
      <c r="EZ19" s="24"/>
      <c r="FA19" s="24"/>
      <c r="FB19" s="24">
        <v>4752</v>
      </c>
      <c r="FC19" s="24"/>
      <c r="FD19" s="24"/>
      <c r="FE19" s="24"/>
      <c r="FF19" s="24"/>
      <c r="FG19" s="24"/>
      <c r="FH19" s="24"/>
      <c r="FI19" s="24">
        <v>2645</v>
      </c>
      <c r="FJ19" s="24"/>
      <c r="FK19" s="24"/>
      <c r="FL19" s="24"/>
      <c r="FM19" s="24"/>
      <c r="FN19" s="24"/>
      <c r="FO19" s="24"/>
      <c r="FP19" s="24"/>
      <c r="FQ19" s="24">
        <v>13132</v>
      </c>
      <c r="FR19" s="24"/>
      <c r="FS19" s="24">
        <v>1008</v>
      </c>
      <c r="FT19" s="24">
        <v>1887</v>
      </c>
      <c r="FU19" s="24"/>
      <c r="FV19" s="24"/>
      <c r="FW19" s="24"/>
      <c r="FX19" s="24"/>
      <c r="FY19" s="24"/>
      <c r="FZ19" s="24"/>
      <c r="GA19" s="24"/>
      <c r="GB19" s="24"/>
      <c r="GC19" s="24"/>
      <c r="GD19" s="24"/>
      <c r="GE19" s="24"/>
      <c r="GF19" s="24">
        <v>12378</v>
      </c>
      <c r="GG19" s="24"/>
      <c r="GH19" s="24">
        <v>286300</v>
      </c>
      <c r="GI19" s="24"/>
      <c r="GJ19" s="24"/>
      <c r="GL19" s="27"/>
      <c r="GM19" s="29">
        <v>39903</v>
      </c>
      <c r="GN19" s="25">
        <f t="shared" si="9"/>
        <v>35</v>
      </c>
    </row>
    <row r="20" spans="1:196" x14ac:dyDescent="0.25">
      <c r="A20" s="4">
        <v>19</v>
      </c>
      <c r="B20" s="9">
        <v>41296</v>
      </c>
      <c r="C20" s="10">
        <v>5656705</v>
      </c>
      <c r="D20" s="10">
        <v>3833646</v>
      </c>
      <c r="E20" s="10">
        <v>40904</v>
      </c>
      <c r="F20" s="11">
        <v>0.02</v>
      </c>
      <c r="G20" s="16">
        <f t="shared" si="0"/>
        <v>0.67771715159266743</v>
      </c>
      <c r="H20" s="10">
        <f t="shared" si="1"/>
        <v>3792742</v>
      </c>
      <c r="I20" s="16">
        <f t="shared" si="2"/>
        <v>1.0669738416118756E-2</v>
      </c>
      <c r="J20" s="10">
        <f t="shared" si="3"/>
        <v>75854.84</v>
      </c>
      <c r="K20" s="10">
        <f t="shared" si="4"/>
        <v>32</v>
      </c>
      <c r="L20" s="10">
        <f t="shared" si="5"/>
        <v>12</v>
      </c>
      <c r="M20" s="10">
        <f t="shared" si="6"/>
        <v>20</v>
      </c>
      <c r="N20" s="10">
        <f t="shared" si="7"/>
        <v>268795</v>
      </c>
      <c r="O20" s="11">
        <f t="shared" si="8"/>
        <v>7.0870889715145408E-2</v>
      </c>
      <c r="P20" s="3"/>
      <c r="Q20" s="3">
        <v>432118</v>
      </c>
      <c r="R20" s="3"/>
      <c r="S20" s="3"/>
      <c r="T20" s="3"/>
      <c r="U20" s="3"/>
      <c r="V20" s="3">
        <v>195892</v>
      </c>
      <c r="W20" s="3"/>
      <c r="X20" s="3">
        <v>97030</v>
      </c>
      <c r="Y20" s="3"/>
      <c r="Z20" s="3"/>
      <c r="AA20" s="3"/>
      <c r="AB20" s="3"/>
      <c r="AC20" s="3"/>
      <c r="AD20" s="3">
        <v>461</v>
      </c>
      <c r="AE20" s="3"/>
      <c r="AF20" s="3"/>
      <c r="AG20" s="3">
        <v>3640</v>
      </c>
      <c r="AH20" s="3">
        <v>649</v>
      </c>
      <c r="AI20" s="3">
        <v>113439</v>
      </c>
      <c r="AJ20" s="3"/>
      <c r="AK20" s="3"/>
      <c r="AL20" s="3">
        <v>28080</v>
      </c>
      <c r="AM20" s="3"/>
      <c r="AN20" s="3"/>
      <c r="AO20" s="3">
        <v>5975</v>
      </c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>
        <v>345985</v>
      </c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>
        <v>18939</v>
      </c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>
        <v>78974</v>
      </c>
      <c r="CL20" s="3"/>
      <c r="CM20" s="3"/>
      <c r="CN20" s="3"/>
      <c r="CO20" s="3"/>
      <c r="CP20" s="3"/>
      <c r="CQ20" s="3"/>
      <c r="CR20" s="3"/>
      <c r="CS20" s="3"/>
      <c r="CT20" s="3">
        <v>885163</v>
      </c>
      <c r="CU20" s="3"/>
      <c r="CV20" s="3"/>
      <c r="CW20" s="3"/>
      <c r="CX20" s="3"/>
      <c r="CY20" s="3">
        <v>172403</v>
      </c>
      <c r="CZ20" s="3"/>
      <c r="DA20" s="3"/>
      <c r="DB20" s="3"/>
      <c r="DC20" s="3">
        <v>761</v>
      </c>
      <c r="DD20" s="3"/>
      <c r="DE20" s="3"/>
      <c r="DF20" s="3">
        <v>1027</v>
      </c>
      <c r="DG20" s="3"/>
      <c r="DH20" s="3"/>
      <c r="DI20" s="3"/>
      <c r="DJ20" s="3"/>
      <c r="DK20" s="3"/>
      <c r="DL20" s="3">
        <v>66775</v>
      </c>
      <c r="DM20" s="3">
        <v>1352</v>
      </c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>
        <v>138450</v>
      </c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>
        <v>2076</v>
      </c>
      <c r="EM20" s="3"/>
      <c r="EN20" s="3"/>
      <c r="EO20" s="3">
        <v>543458</v>
      </c>
      <c r="EP20" s="3">
        <v>28049</v>
      </c>
      <c r="EQ20" s="3">
        <v>1972</v>
      </c>
      <c r="ER20" s="3"/>
      <c r="ES20" s="3">
        <v>2899</v>
      </c>
      <c r="ET20" s="3">
        <v>2176</v>
      </c>
      <c r="EU20" s="3"/>
      <c r="EV20" s="3"/>
      <c r="EW20" s="3">
        <v>45690</v>
      </c>
      <c r="EX20" s="3"/>
      <c r="EY20" s="3"/>
      <c r="EZ20" s="3"/>
      <c r="FA20" s="3"/>
      <c r="FB20" s="3"/>
      <c r="FC20" s="3"/>
      <c r="FD20" s="3"/>
      <c r="FE20" s="3"/>
      <c r="FF20" s="3"/>
      <c r="FG20" s="3">
        <v>189167</v>
      </c>
      <c r="FH20" s="3">
        <v>2877</v>
      </c>
      <c r="FI20" s="3">
        <v>3546</v>
      </c>
      <c r="FJ20" s="3"/>
      <c r="FK20" s="3"/>
      <c r="FL20" s="3"/>
      <c r="FM20" s="3"/>
      <c r="FN20" s="3"/>
      <c r="FO20" s="3"/>
      <c r="FP20" s="3"/>
      <c r="FQ20" s="3">
        <v>43734</v>
      </c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>
        <v>8117</v>
      </c>
      <c r="GG20" s="3"/>
      <c r="GH20" s="3">
        <v>331868</v>
      </c>
      <c r="GI20" s="3"/>
      <c r="GJ20" s="3"/>
      <c r="GL20" s="26"/>
      <c r="GM20" s="28">
        <v>41351</v>
      </c>
      <c r="GN20" s="1">
        <f t="shared" si="9"/>
        <v>55</v>
      </c>
    </row>
    <row r="21" spans="1:196" s="25" customFormat="1" x14ac:dyDescent="0.25">
      <c r="A21" s="18">
        <v>20</v>
      </c>
      <c r="B21" s="19">
        <v>42080</v>
      </c>
      <c r="C21" s="20">
        <v>5881696</v>
      </c>
      <c r="D21" s="20">
        <v>4254738</v>
      </c>
      <c r="E21" s="20">
        <v>43854</v>
      </c>
      <c r="F21" s="22">
        <v>3.2500000000000001E-2</v>
      </c>
      <c r="G21" s="23">
        <f t="shared" si="0"/>
        <v>0.72338624777615168</v>
      </c>
      <c r="H21" s="20">
        <f t="shared" si="1"/>
        <v>4210884</v>
      </c>
      <c r="I21" s="23">
        <f t="shared" si="2"/>
        <v>1.0307097640324739E-2</v>
      </c>
      <c r="J21" s="20">
        <f t="shared" si="3"/>
        <v>136853.73000000001</v>
      </c>
      <c r="K21" s="20">
        <f t="shared" si="4"/>
        <v>26</v>
      </c>
      <c r="L21" s="20">
        <f t="shared" si="5"/>
        <v>10</v>
      </c>
      <c r="M21" s="20">
        <f t="shared" si="6"/>
        <v>16</v>
      </c>
      <c r="N21" s="20">
        <f t="shared" si="7"/>
        <v>189517</v>
      </c>
      <c r="O21" s="22">
        <f t="shared" si="8"/>
        <v>4.5006464200866139E-2</v>
      </c>
      <c r="P21" s="24"/>
      <c r="Q21" s="24">
        <v>786313</v>
      </c>
      <c r="R21" s="24"/>
      <c r="S21" s="24"/>
      <c r="T21" s="24"/>
      <c r="U21" s="24"/>
      <c r="V21" s="24">
        <v>210143</v>
      </c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>
        <v>446583</v>
      </c>
      <c r="AK21" s="24"/>
      <c r="AL21" s="24">
        <v>337</v>
      </c>
      <c r="AM21" s="24"/>
      <c r="AN21" s="24"/>
      <c r="AO21" s="24">
        <v>242</v>
      </c>
      <c r="AP21" s="24"/>
      <c r="AQ21" s="24"/>
      <c r="AR21" s="24"/>
      <c r="AS21" s="24"/>
      <c r="AT21" s="24">
        <v>761</v>
      </c>
      <c r="AU21" s="24"/>
      <c r="AV21" s="24"/>
      <c r="AW21" s="24"/>
      <c r="AX21" s="24"/>
      <c r="AY21" s="24"/>
      <c r="AZ21" s="24"/>
      <c r="BA21" s="24">
        <v>283910</v>
      </c>
      <c r="BB21" s="24"/>
      <c r="BC21" s="24"/>
      <c r="BD21" s="24"/>
      <c r="BE21" s="24"/>
      <c r="BF21" s="24"/>
      <c r="BG21" s="24"/>
      <c r="BH21" s="24"/>
      <c r="BI21" s="24"/>
      <c r="BJ21" s="24">
        <v>423</v>
      </c>
      <c r="BK21" s="24"/>
      <c r="BL21" s="24"/>
      <c r="BM21" s="24"/>
      <c r="BN21" s="24">
        <v>223</v>
      </c>
      <c r="BO21" s="24"/>
      <c r="BP21" s="24"/>
      <c r="BQ21" s="24">
        <v>0</v>
      </c>
      <c r="BR21" s="24"/>
      <c r="BS21" s="24"/>
      <c r="BT21" s="24"/>
      <c r="BU21" s="24"/>
      <c r="BV21" s="24"/>
      <c r="BW21" s="24"/>
      <c r="BX21" s="24"/>
      <c r="BY21" s="24">
        <v>1385</v>
      </c>
      <c r="BZ21" s="24"/>
      <c r="CA21" s="24"/>
      <c r="CB21" s="24"/>
      <c r="CC21" s="24"/>
      <c r="CD21" s="24"/>
      <c r="CE21" s="24">
        <v>315360</v>
      </c>
      <c r="CF21" s="24"/>
      <c r="CG21" s="24"/>
      <c r="CH21" s="24"/>
      <c r="CI21" s="24"/>
      <c r="CJ21" s="24"/>
      <c r="CK21" s="24"/>
      <c r="CL21" s="24"/>
      <c r="CM21" s="24"/>
      <c r="CN21" s="24"/>
      <c r="CO21" s="24">
        <v>214906</v>
      </c>
      <c r="CP21" s="24"/>
      <c r="CQ21" s="24"/>
      <c r="CR21" s="24"/>
      <c r="CS21" s="24"/>
      <c r="CT21" s="24">
        <v>985408</v>
      </c>
      <c r="CU21" s="24"/>
      <c r="CV21" s="24"/>
      <c r="CW21" s="24"/>
      <c r="CX21" s="24"/>
      <c r="CY21" s="24">
        <v>165529</v>
      </c>
      <c r="CZ21" s="24"/>
      <c r="DA21" s="24"/>
      <c r="DB21" s="24"/>
      <c r="DC21" s="24"/>
      <c r="DD21" s="24"/>
      <c r="DE21" s="24">
        <v>1802</v>
      </c>
      <c r="DF21" s="24">
        <v>502</v>
      </c>
      <c r="DG21" s="24"/>
      <c r="DH21" s="24"/>
      <c r="DI21" s="24"/>
      <c r="DJ21" s="24"/>
      <c r="DK21" s="24"/>
      <c r="DL21" s="24">
        <v>823</v>
      </c>
      <c r="DM21" s="24"/>
      <c r="DN21" s="24"/>
      <c r="DO21" s="24"/>
      <c r="DP21" s="24"/>
      <c r="DQ21" s="24"/>
      <c r="DR21" s="24"/>
      <c r="DS21" s="24"/>
      <c r="DT21" s="24"/>
      <c r="DU21" s="24"/>
      <c r="DV21" s="24">
        <v>4301</v>
      </c>
      <c r="DW21" s="24"/>
      <c r="DX21" s="24"/>
      <c r="DY21" s="24"/>
      <c r="DZ21" s="24"/>
      <c r="EA21" s="24"/>
      <c r="EB21" s="24"/>
      <c r="EC21" s="24"/>
      <c r="ED21" s="24"/>
      <c r="EE21" s="24"/>
      <c r="EF21" s="24">
        <v>895</v>
      </c>
      <c r="EG21" s="24"/>
      <c r="EH21" s="24"/>
      <c r="EI21" s="24"/>
      <c r="EJ21" s="24"/>
      <c r="EK21" s="24">
        <v>2493</v>
      </c>
      <c r="EL21" s="24"/>
      <c r="EM21" s="24"/>
      <c r="EN21" s="24"/>
      <c r="EO21" s="24">
        <v>371602</v>
      </c>
      <c r="EP21" s="24"/>
      <c r="EQ21" s="24"/>
      <c r="ER21" s="24"/>
      <c r="ES21" s="24"/>
      <c r="ET21" s="24"/>
      <c r="EU21" s="24"/>
      <c r="EV21" s="24"/>
      <c r="EW21" s="24"/>
      <c r="EX21" s="24"/>
      <c r="EY21" s="24"/>
      <c r="EZ21" s="24"/>
      <c r="FA21" s="24"/>
      <c r="FB21" s="24"/>
      <c r="FC21" s="24"/>
      <c r="FD21" s="24"/>
      <c r="FE21" s="24"/>
      <c r="FF21" s="24"/>
      <c r="FG21" s="24"/>
      <c r="FH21" s="24"/>
      <c r="FI21" s="24"/>
      <c r="FJ21" s="24"/>
      <c r="FK21" s="24"/>
      <c r="FL21" s="24"/>
      <c r="FM21" s="24"/>
      <c r="FN21" s="24"/>
      <c r="FO21" s="24"/>
      <c r="FP21" s="24"/>
      <c r="FQ21" s="24">
        <v>47180</v>
      </c>
      <c r="FR21" s="24"/>
      <c r="FS21" s="24"/>
      <c r="FT21" s="24">
        <v>125158</v>
      </c>
      <c r="FU21" s="24"/>
      <c r="FV21" s="24"/>
      <c r="FW21" s="24"/>
      <c r="FX21" s="24"/>
      <c r="FY21" s="24"/>
      <c r="FZ21" s="24"/>
      <c r="GA21" s="24"/>
      <c r="GB21" s="24"/>
      <c r="GC21" s="24"/>
      <c r="GD21" s="24"/>
      <c r="GE21" s="24"/>
      <c r="GF21" s="24">
        <v>2992</v>
      </c>
      <c r="GG21" s="24"/>
      <c r="GH21" s="24">
        <v>241613</v>
      </c>
      <c r="GI21" s="24"/>
      <c r="GJ21" s="24"/>
      <c r="GL21" s="27"/>
      <c r="GM21" s="29">
        <v>42138</v>
      </c>
      <c r="GN21" s="25">
        <f t="shared" si="9"/>
        <v>58</v>
      </c>
    </row>
    <row r="22" spans="1:196" x14ac:dyDescent="0.25">
      <c r="A22" s="4">
        <v>21</v>
      </c>
      <c r="B22" s="9">
        <v>43564</v>
      </c>
      <c r="C22" s="10">
        <v>6339729</v>
      </c>
      <c r="D22" s="10">
        <v>4340253</v>
      </c>
      <c r="E22" s="10">
        <v>30983</v>
      </c>
      <c r="F22" s="11">
        <v>3.2500000000000001E-2</v>
      </c>
      <c r="G22" s="16">
        <f t="shared" si="0"/>
        <v>0.68461175548670927</v>
      </c>
      <c r="H22" s="10">
        <f t="shared" si="1"/>
        <v>4309270</v>
      </c>
      <c r="I22" s="16">
        <f t="shared" si="2"/>
        <v>7.1385239524055398E-3</v>
      </c>
      <c r="J22" s="10">
        <f t="shared" si="3"/>
        <v>140051.27499999999</v>
      </c>
      <c r="K22" s="10">
        <f t="shared" si="4"/>
        <v>43</v>
      </c>
      <c r="L22" s="10">
        <f t="shared" si="5"/>
        <v>11</v>
      </c>
      <c r="M22" s="10">
        <f t="shared" si="6"/>
        <v>32</v>
      </c>
      <c r="N22" s="10">
        <f t="shared" si="7"/>
        <v>366016</v>
      </c>
      <c r="O22" s="11">
        <f t="shared" si="8"/>
        <v>8.4936891863355041E-2</v>
      </c>
      <c r="P22" s="3"/>
      <c r="Q22" s="3">
        <v>190870</v>
      </c>
      <c r="R22" s="3"/>
      <c r="S22" s="3"/>
      <c r="T22" s="3"/>
      <c r="U22" s="3"/>
      <c r="V22" s="3">
        <v>249049</v>
      </c>
      <c r="W22" s="3"/>
      <c r="X22" s="3"/>
      <c r="Y22" s="3"/>
      <c r="Z22" s="3">
        <v>143666</v>
      </c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>
        <v>193442</v>
      </c>
      <c r="AL22" s="3">
        <v>118031</v>
      </c>
      <c r="AM22" s="3"/>
      <c r="AN22" s="3">
        <v>1168</v>
      </c>
      <c r="AO22" s="3">
        <v>216</v>
      </c>
      <c r="AP22" s="3"/>
      <c r="AQ22" s="3"/>
      <c r="AR22" s="3">
        <v>0</v>
      </c>
      <c r="AS22" s="3"/>
      <c r="AT22" s="3">
        <v>2417</v>
      </c>
      <c r="AU22" s="3"/>
      <c r="AV22" s="3"/>
      <c r="AW22" s="3"/>
      <c r="AX22" s="3"/>
      <c r="AY22" s="3"/>
      <c r="AZ22" s="3"/>
      <c r="BA22" s="3">
        <v>159468</v>
      </c>
      <c r="BB22" s="3"/>
      <c r="BC22" s="3"/>
      <c r="BD22" s="3"/>
      <c r="BE22" s="3"/>
      <c r="BF22" s="3"/>
      <c r="BG22" s="3"/>
      <c r="BH22" s="3"/>
      <c r="BI22" s="3"/>
      <c r="BJ22" s="3">
        <v>1438</v>
      </c>
      <c r="BK22" s="3"/>
      <c r="BL22" s="3"/>
      <c r="BM22" s="3"/>
      <c r="BN22" s="3">
        <v>353</v>
      </c>
      <c r="BO22" s="3"/>
      <c r="BP22" s="3"/>
      <c r="BQ22" s="3"/>
      <c r="BR22" s="3"/>
      <c r="BS22" s="3"/>
      <c r="BT22" s="3">
        <v>265</v>
      </c>
      <c r="BU22" s="3"/>
      <c r="BV22" s="3"/>
      <c r="BW22" s="3"/>
      <c r="BX22" s="3"/>
      <c r="BY22" s="3">
        <v>428</v>
      </c>
      <c r="BZ22" s="3"/>
      <c r="CA22" s="3"/>
      <c r="CB22" s="3"/>
      <c r="CC22" s="3"/>
      <c r="CD22" s="3">
        <v>562</v>
      </c>
      <c r="CE22" s="3">
        <v>152756</v>
      </c>
      <c r="CF22" s="3"/>
      <c r="CG22" s="3"/>
      <c r="CH22" s="3"/>
      <c r="CI22" s="3"/>
      <c r="CJ22" s="3"/>
      <c r="CK22" s="3"/>
      <c r="CL22" s="3"/>
      <c r="CM22" s="3"/>
      <c r="CN22" s="3"/>
      <c r="CO22" s="3">
        <v>173004</v>
      </c>
      <c r="CP22" s="3"/>
      <c r="CQ22" s="3"/>
      <c r="CR22" s="3"/>
      <c r="CS22" s="3"/>
      <c r="CT22" s="3">
        <v>1140370</v>
      </c>
      <c r="CU22" s="3"/>
      <c r="CV22" s="3"/>
      <c r="CW22" s="3"/>
      <c r="CX22" s="3"/>
      <c r="CY22" s="3">
        <v>156473</v>
      </c>
      <c r="CZ22" s="3">
        <v>4618</v>
      </c>
      <c r="DA22" s="3">
        <v>404</v>
      </c>
      <c r="DB22" s="3">
        <v>385</v>
      </c>
      <c r="DC22" s="3">
        <v>138598</v>
      </c>
      <c r="DD22" s="3"/>
      <c r="DE22" s="3">
        <v>1316</v>
      </c>
      <c r="DF22" s="3"/>
      <c r="DG22" s="3"/>
      <c r="DH22" s="3">
        <v>0</v>
      </c>
      <c r="DI22" s="3"/>
      <c r="DJ22" s="3"/>
      <c r="DK22" s="3"/>
      <c r="DL22" s="3">
        <v>3394</v>
      </c>
      <c r="DM22" s="3"/>
      <c r="DN22" s="3">
        <v>74701</v>
      </c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>
        <v>819</v>
      </c>
      <c r="EH22" s="3">
        <v>733</v>
      </c>
      <c r="EI22" s="3">
        <v>518</v>
      </c>
      <c r="EJ22" s="3">
        <v>401</v>
      </c>
      <c r="EK22" s="3">
        <v>624</v>
      </c>
      <c r="EL22" s="3"/>
      <c r="EM22" s="3"/>
      <c r="EN22" s="3"/>
      <c r="EO22" s="3">
        <v>1125881</v>
      </c>
      <c r="EP22" s="3"/>
      <c r="EQ22" s="3"/>
      <c r="ER22" s="3"/>
      <c r="ES22" s="3"/>
      <c r="ET22" s="3"/>
      <c r="EU22" s="3"/>
      <c r="EV22" s="3"/>
      <c r="EW22" s="3">
        <v>556</v>
      </c>
      <c r="EX22" s="3">
        <v>0</v>
      </c>
      <c r="EY22" s="3">
        <v>368</v>
      </c>
      <c r="EZ22" s="3"/>
      <c r="FA22" s="3"/>
      <c r="FB22" s="3"/>
      <c r="FC22" s="3"/>
      <c r="FD22" s="3"/>
      <c r="FE22" s="3"/>
      <c r="FF22" s="3"/>
      <c r="FG22" s="3"/>
      <c r="FH22" s="3">
        <v>3843</v>
      </c>
      <c r="FI22" s="3">
        <v>3281</v>
      </c>
      <c r="FJ22" s="3"/>
      <c r="FK22" s="3">
        <v>701</v>
      </c>
      <c r="FL22" s="3"/>
      <c r="FM22" s="3"/>
      <c r="FN22" s="3"/>
      <c r="FO22" s="3"/>
      <c r="FP22" s="3">
        <v>603</v>
      </c>
      <c r="FQ22" s="3"/>
      <c r="FR22" s="3">
        <v>1140</v>
      </c>
      <c r="FS22" s="3"/>
      <c r="FT22" s="3"/>
      <c r="FU22" s="3">
        <v>4135</v>
      </c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>
        <v>258275</v>
      </c>
      <c r="GI22" s="3"/>
      <c r="GJ22" s="3"/>
      <c r="GL22" s="26"/>
      <c r="GM22" s="28">
        <v>43968</v>
      </c>
      <c r="GN22" s="1">
        <f t="shared" si="9"/>
        <v>404</v>
      </c>
    </row>
    <row r="23" spans="1:196" s="25" customFormat="1" x14ac:dyDescent="0.25">
      <c r="A23" s="18">
        <v>22</v>
      </c>
      <c r="B23" s="19">
        <v>43725</v>
      </c>
      <c r="C23" s="20">
        <v>6394030</v>
      </c>
      <c r="D23" s="20">
        <v>4465168</v>
      </c>
      <c r="E23" s="20">
        <v>28362</v>
      </c>
      <c r="F23" s="22">
        <v>3.2500000000000001E-2</v>
      </c>
      <c r="G23" s="23">
        <f t="shared" si="0"/>
        <v>0.69833391460471717</v>
      </c>
      <c r="H23" s="20">
        <f t="shared" si="1"/>
        <v>4436806</v>
      </c>
      <c r="I23" s="23">
        <f t="shared" si="2"/>
        <v>6.3518326746048528E-3</v>
      </c>
      <c r="J23" s="20">
        <f t="shared" si="3"/>
        <v>144196.19500000001</v>
      </c>
      <c r="K23" s="20">
        <f t="shared" si="4"/>
        <v>32</v>
      </c>
      <c r="L23" s="20">
        <f t="shared" si="5"/>
        <v>9</v>
      </c>
      <c r="M23" s="20">
        <f t="shared" si="6"/>
        <v>23</v>
      </c>
      <c r="N23" s="20">
        <f t="shared" si="7"/>
        <v>126704</v>
      </c>
      <c r="O23" s="22">
        <f t="shared" si="8"/>
        <v>2.8557480313540867E-2</v>
      </c>
      <c r="P23" s="24"/>
      <c r="Q23" s="24">
        <v>212782</v>
      </c>
      <c r="R23" s="24"/>
      <c r="S23" s="24"/>
      <c r="T23" s="24"/>
      <c r="U23" s="24"/>
      <c r="V23" s="24">
        <v>268775</v>
      </c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>
        <v>470211</v>
      </c>
      <c r="AK23" s="24"/>
      <c r="AL23" s="24">
        <v>1193</v>
      </c>
      <c r="AM23" s="24"/>
      <c r="AN23" s="24"/>
      <c r="AO23" s="24"/>
      <c r="AP23" s="24">
        <v>736</v>
      </c>
      <c r="AQ23" s="24">
        <v>0</v>
      </c>
      <c r="AR23" s="24"/>
      <c r="AS23" s="24"/>
      <c r="AT23" s="24">
        <v>14805</v>
      </c>
      <c r="AU23" s="24"/>
      <c r="AV23" s="24"/>
      <c r="AW23" s="24"/>
      <c r="AX23" s="24"/>
      <c r="AY23" s="24"/>
      <c r="AZ23" s="24"/>
      <c r="BA23" s="24">
        <v>260655</v>
      </c>
      <c r="BB23" s="24"/>
      <c r="BC23" s="24"/>
      <c r="BD23" s="24"/>
      <c r="BE23" s="24"/>
      <c r="BF23" s="24"/>
      <c r="BG23" s="24"/>
      <c r="BH23" s="24"/>
      <c r="BI23" s="24"/>
      <c r="BJ23" s="24">
        <v>434</v>
      </c>
      <c r="BK23" s="24"/>
      <c r="BL23" s="24"/>
      <c r="BM23" s="24"/>
      <c r="BN23" s="24">
        <v>4358</v>
      </c>
      <c r="BO23" s="24"/>
      <c r="BP23" s="24"/>
      <c r="BQ23" s="24"/>
      <c r="BR23" s="24"/>
      <c r="BS23" s="24"/>
      <c r="BT23" s="24"/>
      <c r="BU23" s="24">
        <v>610</v>
      </c>
      <c r="BV23" s="24"/>
      <c r="BW23" s="24"/>
      <c r="BX23" s="24">
        <v>542</v>
      </c>
      <c r="BY23" s="24"/>
      <c r="BZ23" s="24">
        <v>497</v>
      </c>
      <c r="CA23" s="24"/>
      <c r="CB23" s="24"/>
      <c r="CC23" s="24"/>
      <c r="CD23" s="24"/>
      <c r="CE23" s="24">
        <v>0</v>
      </c>
      <c r="CF23" s="24"/>
      <c r="CG23" s="24"/>
      <c r="CH23" s="24"/>
      <c r="CI23" s="24">
        <v>5946</v>
      </c>
      <c r="CJ23" s="24"/>
      <c r="CK23" s="24"/>
      <c r="CL23" s="24"/>
      <c r="CM23" s="24">
        <v>83609</v>
      </c>
      <c r="CN23" s="24"/>
      <c r="CO23" s="24">
        <v>310154</v>
      </c>
      <c r="CP23" s="24"/>
      <c r="CQ23" s="24"/>
      <c r="CR23" s="24"/>
      <c r="CS23" s="24"/>
      <c r="CT23" s="24">
        <v>1113617</v>
      </c>
      <c r="CU23" s="24"/>
      <c r="CV23" s="24"/>
      <c r="CW23" s="24"/>
      <c r="CX23" s="24"/>
      <c r="CY23" s="24">
        <v>192495</v>
      </c>
      <c r="CZ23" s="24"/>
      <c r="DA23" s="24"/>
      <c r="DB23" s="24"/>
      <c r="DC23" s="24">
        <v>1033</v>
      </c>
      <c r="DD23" s="24"/>
      <c r="DE23" s="24"/>
      <c r="DF23" s="24"/>
      <c r="DG23" s="24"/>
      <c r="DH23" s="24">
        <v>1545</v>
      </c>
      <c r="DI23" s="24"/>
      <c r="DJ23" s="24"/>
      <c r="DK23" s="24"/>
      <c r="DL23" s="24">
        <v>0</v>
      </c>
      <c r="DM23" s="24"/>
      <c r="DN23" s="24"/>
      <c r="DO23" s="24"/>
      <c r="DP23" s="24"/>
      <c r="DQ23" s="24"/>
      <c r="DR23" s="24"/>
      <c r="DS23" s="24"/>
      <c r="DT23" s="24"/>
      <c r="DU23" s="24"/>
      <c r="DV23" s="24"/>
      <c r="DW23" s="24"/>
      <c r="DX23" s="24"/>
      <c r="DY23" s="24"/>
      <c r="DZ23" s="24"/>
      <c r="EA23" s="24"/>
      <c r="EB23" s="24"/>
      <c r="EC23" s="24"/>
      <c r="ED23" s="24"/>
      <c r="EE23" s="24"/>
      <c r="EF23" s="24"/>
      <c r="EG23" s="24">
        <v>1236</v>
      </c>
      <c r="EH23" s="24"/>
      <c r="EI23" s="24"/>
      <c r="EJ23" s="24"/>
      <c r="EK23" s="24"/>
      <c r="EL23" s="24"/>
      <c r="EM23" s="24"/>
      <c r="EN23" s="24"/>
      <c r="EO23" s="24">
        <v>1151214</v>
      </c>
      <c r="EP23" s="24"/>
      <c r="EQ23" s="24"/>
      <c r="ER23" s="24"/>
      <c r="ES23" s="24"/>
      <c r="ET23" s="24"/>
      <c r="EU23" s="24"/>
      <c r="EV23" s="24"/>
      <c r="EW23" s="24">
        <v>592</v>
      </c>
      <c r="EX23" s="24"/>
      <c r="EY23" s="24"/>
      <c r="EZ23" s="24">
        <v>3053</v>
      </c>
      <c r="FA23" s="24"/>
      <c r="FB23" s="24"/>
      <c r="FC23" s="24"/>
      <c r="FD23" s="24"/>
      <c r="FE23" s="24">
        <v>725</v>
      </c>
      <c r="FF23" s="24"/>
      <c r="FG23" s="24"/>
      <c r="FH23" s="24"/>
      <c r="FI23" s="24">
        <v>1473</v>
      </c>
      <c r="FJ23" s="24"/>
      <c r="FK23" s="24"/>
      <c r="FL23" s="24">
        <v>928</v>
      </c>
      <c r="FM23" s="24"/>
      <c r="FN23" s="24"/>
      <c r="FO23" s="24"/>
      <c r="FP23" s="24"/>
      <c r="FQ23" s="24"/>
      <c r="FR23" s="24"/>
      <c r="FS23" s="24"/>
      <c r="FT23" s="24">
        <v>994</v>
      </c>
      <c r="FU23" s="24"/>
      <c r="FV23" s="24"/>
      <c r="FW23" s="24"/>
      <c r="FX23" s="24"/>
      <c r="FY23" s="24"/>
      <c r="FZ23" s="24"/>
      <c r="GA23" s="24"/>
      <c r="GB23" s="24"/>
      <c r="GC23" s="24"/>
      <c r="GD23" s="24"/>
      <c r="GE23" s="24"/>
      <c r="GF23" s="24">
        <v>2395</v>
      </c>
      <c r="GG23" s="24"/>
      <c r="GH23" s="24">
        <v>330199</v>
      </c>
      <c r="GI23" s="24"/>
      <c r="GJ23" s="24"/>
      <c r="GL23" s="27"/>
      <c r="GM23" s="29">
        <v>43968</v>
      </c>
      <c r="GN23" s="25">
        <f t="shared" si="9"/>
        <v>243</v>
      </c>
    </row>
    <row r="24" spans="1:196" x14ac:dyDescent="0.25">
      <c r="A24" s="4">
        <v>23</v>
      </c>
      <c r="B24" s="9">
        <v>43892</v>
      </c>
      <c r="C24" s="10">
        <v>6453255</v>
      </c>
      <c r="D24" s="10">
        <v>4615135</v>
      </c>
      <c r="E24" s="10">
        <v>25073</v>
      </c>
      <c r="F24" s="11">
        <v>3.2500000000000001E-2</v>
      </c>
      <c r="G24" s="16">
        <f t="shared" si="0"/>
        <v>0.71516389790888479</v>
      </c>
      <c r="H24" s="10">
        <f t="shared" si="1"/>
        <v>4590062</v>
      </c>
      <c r="I24" s="16">
        <f t="shared" si="2"/>
        <v>5.4327771560311886E-3</v>
      </c>
      <c r="J24" s="10">
        <f t="shared" si="3"/>
        <v>149177.01500000001</v>
      </c>
      <c r="K24" s="10">
        <f t="shared" si="4"/>
        <v>30</v>
      </c>
      <c r="L24" s="10">
        <f t="shared" si="5"/>
        <v>8</v>
      </c>
      <c r="M24" s="10">
        <f t="shared" si="6"/>
        <v>22</v>
      </c>
      <c r="N24" s="10">
        <f t="shared" si="7"/>
        <v>36901</v>
      </c>
      <c r="O24" s="11">
        <f t="shared" si="8"/>
        <v>8.0393249590092683E-3</v>
      </c>
      <c r="P24" s="3"/>
      <c r="Q24" s="3">
        <v>267480</v>
      </c>
      <c r="R24" s="3"/>
      <c r="S24" s="3"/>
      <c r="T24" s="3"/>
      <c r="U24" s="3"/>
      <c r="V24" s="3">
        <v>274437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>
        <v>581507</v>
      </c>
      <c r="AK24" s="3"/>
      <c r="AL24" s="3">
        <v>3781</v>
      </c>
      <c r="AM24" s="3"/>
      <c r="AN24" s="3"/>
      <c r="AO24" s="3">
        <v>210</v>
      </c>
      <c r="AP24" s="3"/>
      <c r="AQ24" s="3"/>
      <c r="AR24" s="3"/>
      <c r="AS24" s="3"/>
      <c r="AT24" s="3">
        <v>0</v>
      </c>
      <c r="AU24" s="3"/>
      <c r="AV24" s="3"/>
      <c r="AW24" s="3"/>
      <c r="AX24" s="3"/>
      <c r="AY24" s="3"/>
      <c r="AZ24" s="3"/>
      <c r="BA24" s="3">
        <v>240689</v>
      </c>
      <c r="BB24" s="3"/>
      <c r="BC24" s="3"/>
      <c r="BD24" s="3"/>
      <c r="BE24" s="3"/>
      <c r="BF24" s="3"/>
      <c r="BG24" s="3"/>
      <c r="BH24" s="3"/>
      <c r="BI24" s="3"/>
      <c r="BJ24" s="3">
        <v>308</v>
      </c>
      <c r="BK24" s="3"/>
      <c r="BL24" s="3"/>
      <c r="BM24" s="3"/>
      <c r="BN24" s="3">
        <v>342</v>
      </c>
      <c r="BO24" s="3"/>
      <c r="BP24" s="3"/>
      <c r="BQ24" s="3"/>
      <c r="BR24" s="3"/>
      <c r="BS24" s="3"/>
      <c r="BT24" s="3"/>
      <c r="BU24" s="3">
        <v>677</v>
      </c>
      <c r="BV24" s="3"/>
      <c r="BW24" s="3"/>
      <c r="BX24" s="3">
        <v>222</v>
      </c>
      <c r="BY24" s="3"/>
      <c r="BZ24" s="3">
        <v>389</v>
      </c>
      <c r="CA24" s="3">
        <v>271</v>
      </c>
      <c r="CB24" s="3"/>
      <c r="CC24" s="3"/>
      <c r="CD24" s="3"/>
      <c r="CE24" s="3">
        <v>516</v>
      </c>
      <c r="CF24" s="3"/>
      <c r="CG24" s="3"/>
      <c r="CH24" s="3"/>
      <c r="CI24" s="3"/>
      <c r="CJ24" s="3"/>
      <c r="CK24" s="3">
        <v>812</v>
      </c>
      <c r="CL24" s="3"/>
      <c r="CM24" s="3"/>
      <c r="CN24" s="3"/>
      <c r="CO24" s="3">
        <v>263365</v>
      </c>
      <c r="CP24" s="3"/>
      <c r="CQ24" s="3"/>
      <c r="CR24" s="3"/>
      <c r="CS24" s="3"/>
      <c r="CT24" s="3">
        <v>1352449</v>
      </c>
      <c r="CU24" s="3"/>
      <c r="CV24" s="3"/>
      <c r="CW24" s="3"/>
      <c r="CX24" s="3"/>
      <c r="CY24" s="3"/>
      <c r="CZ24" s="3"/>
      <c r="DA24" s="3"/>
      <c r="DB24" s="3"/>
      <c r="DC24" s="3">
        <v>2773</v>
      </c>
      <c r="DD24" s="3"/>
      <c r="DE24" s="3">
        <v>667</v>
      </c>
      <c r="DF24" s="3">
        <v>350</v>
      </c>
      <c r="DG24" s="3"/>
      <c r="DH24" s="3"/>
      <c r="DI24" s="3"/>
      <c r="DJ24" s="3"/>
      <c r="DK24" s="3"/>
      <c r="DL24" s="3">
        <v>19402</v>
      </c>
      <c r="DM24" s="3">
        <v>622</v>
      </c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>
        <v>1473</v>
      </c>
      <c r="EH24" s="3"/>
      <c r="EI24" s="3"/>
      <c r="EJ24" s="3"/>
      <c r="EK24" s="3"/>
      <c r="EL24" s="3"/>
      <c r="EM24" s="3"/>
      <c r="EN24" s="3"/>
      <c r="EO24" s="3">
        <v>1220381</v>
      </c>
      <c r="EP24" s="3"/>
      <c r="EQ24" s="3"/>
      <c r="ER24" s="3"/>
      <c r="ES24" s="3"/>
      <c r="ET24" s="3"/>
      <c r="EU24" s="3"/>
      <c r="EV24" s="3"/>
      <c r="EW24" s="3">
        <v>612</v>
      </c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>
        <v>980</v>
      </c>
      <c r="FJ24" s="3"/>
      <c r="FK24" s="3">
        <v>442</v>
      </c>
      <c r="FL24" s="3">
        <v>677</v>
      </c>
      <c r="FM24" s="3"/>
      <c r="FN24" s="3"/>
      <c r="FO24" s="3"/>
      <c r="FP24" s="3"/>
      <c r="FQ24" s="3"/>
      <c r="FR24" s="3"/>
      <c r="FS24" s="3"/>
      <c r="FT24" s="3">
        <v>1375</v>
      </c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>
        <v>352853</v>
      </c>
      <c r="GI24" s="3"/>
      <c r="GJ24" s="3"/>
      <c r="GL24" s="26"/>
      <c r="GM24" s="28">
        <v>43968</v>
      </c>
      <c r="GN24" s="1">
        <f t="shared" si="9"/>
        <v>76</v>
      </c>
    </row>
    <row r="25" spans="1:196" s="25" customFormat="1" x14ac:dyDescent="0.25">
      <c r="A25" s="18">
        <v>24</v>
      </c>
      <c r="B25" s="19">
        <v>44278</v>
      </c>
      <c r="C25" s="20">
        <v>6578084</v>
      </c>
      <c r="D25" s="20">
        <v>4436365</v>
      </c>
      <c r="E25" s="20">
        <v>26313</v>
      </c>
      <c r="F25" s="22">
        <v>3.2500000000000001E-2</v>
      </c>
      <c r="G25" s="23">
        <f t="shared" si="0"/>
        <v>0.67441598495853805</v>
      </c>
      <c r="H25" s="20">
        <f t="shared" si="1"/>
        <v>4410052</v>
      </c>
      <c r="I25" s="23">
        <f t="shared" si="2"/>
        <v>5.9312071932764773E-3</v>
      </c>
      <c r="J25" s="20">
        <f t="shared" si="3"/>
        <v>143326.69</v>
      </c>
      <c r="K25" s="20">
        <f t="shared" si="4"/>
        <v>39</v>
      </c>
      <c r="L25" s="20">
        <f t="shared" si="5"/>
        <v>13</v>
      </c>
      <c r="M25" s="20">
        <f t="shared" si="6"/>
        <v>26</v>
      </c>
      <c r="N25" s="20">
        <f t="shared" si="7"/>
        <v>64752</v>
      </c>
      <c r="O25" s="22">
        <f t="shared" si="8"/>
        <v>1.4682820066520757E-2</v>
      </c>
      <c r="P25" s="24"/>
      <c r="Q25" s="24">
        <v>268767</v>
      </c>
      <c r="R25" s="24"/>
      <c r="S25" s="24"/>
      <c r="T25" s="24"/>
      <c r="U25" s="24">
        <v>273836</v>
      </c>
      <c r="V25" s="24">
        <v>248391</v>
      </c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>
        <v>212583</v>
      </c>
      <c r="AK25" s="24"/>
      <c r="AL25" s="24">
        <v>395</v>
      </c>
      <c r="AM25" s="24"/>
      <c r="AN25" s="24"/>
      <c r="AO25" s="24"/>
      <c r="AP25" s="24"/>
      <c r="AQ25" s="24"/>
      <c r="AR25" s="24"/>
      <c r="AS25" s="24"/>
      <c r="AT25" s="24">
        <v>663</v>
      </c>
      <c r="AU25" s="24"/>
      <c r="AV25" s="24"/>
      <c r="AW25" s="24"/>
      <c r="AX25" s="24"/>
      <c r="AY25" s="24"/>
      <c r="AZ25" s="24">
        <v>225641</v>
      </c>
      <c r="BA25" s="24"/>
      <c r="BB25" s="24"/>
      <c r="BC25" s="24"/>
      <c r="BD25" s="24"/>
      <c r="BE25" s="24"/>
      <c r="BF25" s="24"/>
      <c r="BG25" s="24"/>
      <c r="BH25" s="24"/>
      <c r="BI25" s="24"/>
      <c r="BJ25" s="24">
        <v>811</v>
      </c>
      <c r="BK25" s="24"/>
      <c r="BL25" s="24"/>
      <c r="BM25" s="24"/>
      <c r="BN25" s="24">
        <v>34883</v>
      </c>
      <c r="BO25" s="24"/>
      <c r="BP25" s="24"/>
      <c r="BQ25" s="24"/>
      <c r="BR25" s="24"/>
      <c r="BS25" s="24"/>
      <c r="BT25" s="24"/>
      <c r="BU25" s="24">
        <v>408</v>
      </c>
      <c r="BV25" s="24"/>
      <c r="BW25" s="24"/>
      <c r="BX25" s="24">
        <v>196</v>
      </c>
      <c r="BY25" s="24"/>
      <c r="BZ25" s="24">
        <v>429</v>
      </c>
      <c r="CA25" s="24">
        <v>256</v>
      </c>
      <c r="CB25" s="24"/>
      <c r="CC25" s="24"/>
      <c r="CD25" s="24"/>
      <c r="CE25" s="24">
        <v>443</v>
      </c>
      <c r="CF25" s="24"/>
      <c r="CG25" s="24"/>
      <c r="CH25" s="24"/>
      <c r="CI25" s="24"/>
      <c r="CJ25" s="24">
        <v>1291</v>
      </c>
      <c r="CK25" s="24">
        <v>292257</v>
      </c>
      <c r="CL25" s="24"/>
      <c r="CM25" s="24"/>
      <c r="CN25" s="24"/>
      <c r="CO25" s="24">
        <v>248370</v>
      </c>
      <c r="CP25" s="24"/>
      <c r="CQ25" s="24"/>
      <c r="CR25" s="24"/>
      <c r="CS25" s="24"/>
      <c r="CT25" s="24">
        <v>1066892</v>
      </c>
      <c r="CU25" s="24"/>
      <c r="CV25" s="24"/>
      <c r="CW25" s="24"/>
      <c r="CX25" s="24"/>
      <c r="CY25" s="24">
        <v>202218</v>
      </c>
      <c r="CZ25" s="24"/>
      <c r="DA25" s="24"/>
      <c r="DB25" s="24"/>
      <c r="DC25" s="24">
        <v>486</v>
      </c>
      <c r="DD25" s="24"/>
      <c r="DE25" s="24"/>
      <c r="DF25" s="24">
        <v>429</v>
      </c>
      <c r="DG25" s="24"/>
      <c r="DH25" s="24"/>
      <c r="DI25" s="24"/>
      <c r="DJ25" s="24"/>
      <c r="DK25" s="24"/>
      <c r="DL25" s="24"/>
      <c r="DM25" s="24"/>
      <c r="DN25" s="24">
        <v>220</v>
      </c>
      <c r="DO25" s="24"/>
      <c r="DP25" s="24"/>
      <c r="DQ25" s="24"/>
      <c r="DR25" s="24"/>
      <c r="DS25" s="24"/>
      <c r="DT25" s="24"/>
      <c r="DU25" s="24"/>
      <c r="DV25" s="24"/>
      <c r="DW25" s="24"/>
      <c r="DX25" s="24"/>
      <c r="DY25" s="24"/>
      <c r="DZ25" s="24">
        <v>167064</v>
      </c>
      <c r="EA25" s="24"/>
      <c r="EB25" s="24"/>
      <c r="EC25" s="24"/>
      <c r="ED25" s="24"/>
      <c r="EE25" s="24"/>
      <c r="EF25" s="24"/>
      <c r="EG25" s="24">
        <v>1309</v>
      </c>
      <c r="EH25" s="24"/>
      <c r="EI25" s="24"/>
      <c r="EJ25" s="24"/>
      <c r="EK25" s="24"/>
      <c r="EL25" s="24"/>
      <c r="EM25" s="24"/>
      <c r="EN25" s="24"/>
      <c r="EO25" s="24">
        <v>614112</v>
      </c>
      <c r="EP25" s="24"/>
      <c r="EQ25" s="24"/>
      <c r="ER25" s="24"/>
      <c r="ES25" s="24"/>
      <c r="ET25" s="24"/>
      <c r="EU25" s="24"/>
      <c r="EV25" s="24"/>
      <c r="EW25" s="24">
        <v>385</v>
      </c>
      <c r="EX25" s="24"/>
      <c r="EY25" s="24"/>
      <c r="EZ25" s="24"/>
      <c r="FA25" s="24"/>
      <c r="FB25" s="24">
        <v>441</v>
      </c>
      <c r="FC25" s="24">
        <v>253</v>
      </c>
      <c r="FD25" s="24"/>
      <c r="FE25" s="24"/>
      <c r="FF25" s="24">
        <v>226</v>
      </c>
      <c r="FG25" s="24"/>
      <c r="FH25" s="24"/>
      <c r="FI25" s="24">
        <v>463</v>
      </c>
      <c r="FJ25" s="24"/>
      <c r="FK25" s="24">
        <v>395</v>
      </c>
      <c r="FL25" s="24">
        <v>514</v>
      </c>
      <c r="FM25" s="24"/>
      <c r="FN25" s="24"/>
      <c r="FO25" s="24"/>
      <c r="FP25" s="24"/>
      <c r="FQ25" s="24"/>
      <c r="FR25" s="24"/>
      <c r="FS25" s="24"/>
      <c r="FT25" s="24">
        <v>729</v>
      </c>
      <c r="FU25" s="24">
        <v>17346</v>
      </c>
      <c r="FV25" s="24"/>
      <c r="FW25" s="24"/>
      <c r="FX25" s="24"/>
      <c r="FY25" s="24"/>
      <c r="FZ25" s="24"/>
      <c r="GA25" s="24"/>
      <c r="GB25" s="24">
        <v>1189</v>
      </c>
      <c r="GC25" s="24"/>
      <c r="GD25" s="24">
        <v>592</v>
      </c>
      <c r="GE25" s="24"/>
      <c r="GF25" s="24">
        <v>0</v>
      </c>
      <c r="GG25" s="24"/>
      <c r="GH25" s="24">
        <v>316008</v>
      </c>
      <c r="GI25" s="24"/>
      <c r="GJ25" s="24">
        <v>209161</v>
      </c>
      <c r="GL25" s="27"/>
      <c r="GM25" s="29">
        <v>44360</v>
      </c>
      <c r="GN25" s="25">
        <f t="shared" si="9"/>
        <v>82</v>
      </c>
    </row>
    <row r="26" spans="1:196" x14ac:dyDescent="0.25">
      <c r="A26" s="4">
        <v>25</v>
      </c>
      <c r="B26" s="9">
        <v>44866</v>
      </c>
      <c r="C26" s="10">
        <v>6788804</v>
      </c>
      <c r="D26" s="10">
        <v>4794593</v>
      </c>
      <c r="E26" s="10">
        <v>29851</v>
      </c>
      <c r="F26" s="11">
        <v>3.2500000000000001E-2</v>
      </c>
      <c r="G26" s="16">
        <f t="shared" si="0"/>
        <v>0.70625002577773643</v>
      </c>
      <c r="H26" s="10">
        <f t="shared" si="1"/>
        <v>4764742</v>
      </c>
      <c r="I26" s="16">
        <f t="shared" si="2"/>
        <v>6.2259716309601256E-3</v>
      </c>
      <c r="J26" s="10">
        <f t="shared" si="3"/>
        <v>154854.11500000002</v>
      </c>
      <c r="K26" s="10">
        <f t="shared" si="4"/>
        <v>40</v>
      </c>
      <c r="L26" s="10">
        <f t="shared" si="5"/>
        <v>10</v>
      </c>
      <c r="M26" s="10">
        <f t="shared" si="6"/>
        <v>30</v>
      </c>
      <c r="N26" s="10">
        <f t="shared" si="7"/>
        <v>417400</v>
      </c>
      <c r="O26" s="11">
        <f t="shared" si="8"/>
        <v>8.7601805092489798E-2</v>
      </c>
      <c r="P26" s="3"/>
      <c r="Q26" s="3">
        <v>175992</v>
      </c>
      <c r="R26" s="3">
        <v>15801</v>
      </c>
      <c r="S26" s="3"/>
      <c r="T26" s="3"/>
      <c r="U26" s="3">
        <v>56775</v>
      </c>
      <c r="V26" s="3">
        <v>280194</v>
      </c>
      <c r="W26" s="3"/>
      <c r="X26" s="3">
        <v>138617</v>
      </c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>
        <v>178735</v>
      </c>
      <c r="AL26" s="3">
        <v>430</v>
      </c>
      <c r="AM26" s="3"/>
      <c r="AN26" s="3"/>
      <c r="AO26" s="3">
        <v>205</v>
      </c>
      <c r="AP26" s="3"/>
      <c r="AQ26" s="3"/>
      <c r="AR26" s="3">
        <v>153</v>
      </c>
      <c r="AS26" s="3"/>
      <c r="AT26" s="3">
        <v>292</v>
      </c>
      <c r="AU26" s="3"/>
      <c r="AV26" s="3"/>
      <c r="AW26" s="3"/>
      <c r="AX26" s="3"/>
      <c r="AY26" s="3"/>
      <c r="AZ26" s="3">
        <v>516470</v>
      </c>
      <c r="BA26" s="3"/>
      <c r="BB26" s="3"/>
      <c r="BC26" s="3"/>
      <c r="BD26" s="3"/>
      <c r="BE26" s="3"/>
      <c r="BF26" s="3"/>
      <c r="BG26" s="3"/>
      <c r="BH26" s="3"/>
      <c r="BI26" s="3"/>
      <c r="BJ26" s="3">
        <v>1157</v>
      </c>
      <c r="BK26" s="3"/>
      <c r="BL26" s="3"/>
      <c r="BM26" s="3"/>
      <c r="BN26" s="3">
        <v>13920</v>
      </c>
      <c r="BO26" s="3"/>
      <c r="BP26" s="3"/>
      <c r="BQ26" s="3"/>
      <c r="BR26" s="3"/>
      <c r="BS26" s="3"/>
      <c r="BT26" s="3"/>
      <c r="BU26" s="3">
        <v>234</v>
      </c>
      <c r="BV26" s="3"/>
      <c r="BW26" s="3"/>
      <c r="BX26" s="3"/>
      <c r="BY26" s="3">
        <v>262</v>
      </c>
      <c r="BZ26" s="3">
        <v>411</v>
      </c>
      <c r="CA26" s="3"/>
      <c r="CB26" s="3"/>
      <c r="CC26" s="3">
        <v>746</v>
      </c>
      <c r="CD26" s="3"/>
      <c r="CE26" s="3"/>
      <c r="CF26" s="3"/>
      <c r="CG26" s="3"/>
      <c r="CH26" s="3"/>
      <c r="CI26" s="3"/>
      <c r="CJ26" s="3"/>
      <c r="CK26" s="3">
        <v>432482</v>
      </c>
      <c r="CL26" s="3"/>
      <c r="CM26" s="3"/>
      <c r="CN26" s="3"/>
      <c r="CO26" s="3">
        <v>213687</v>
      </c>
      <c r="CP26" s="3"/>
      <c r="CQ26" s="3"/>
      <c r="CR26" s="3"/>
      <c r="CS26" s="3"/>
      <c r="CT26" s="3">
        <v>1115336</v>
      </c>
      <c r="CU26" s="3"/>
      <c r="CV26" s="3"/>
      <c r="CW26" s="3"/>
      <c r="CX26" s="3"/>
      <c r="CY26" s="3">
        <v>150793</v>
      </c>
      <c r="CZ26" s="3"/>
      <c r="DA26" s="3"/>
      <c r="DB26" s="3"/>
      <c r="DC26" s="3"/>
      <c r="DD26" s="3"/>
      <c r="DE26" s="3">
        <v>350</v>
      </c>
      <c r="DF26" s="3">
        <v>1354</v>
      </c>
      <c r="DG26" s="3"/>
      <c r="DH26" s="3"/>
      <c r="DI26" s="3"/>
      <c r="DJ26" s="3">
        <v>255</v>
      </c>
      <c r="DK26" s="3"/>
      <c r="DL26" s="3">
        <v>1020</v>
      </c>
      <c r="DM26" s="3">
        <v>1215</v>
      </c>
      <c r="DN26" s="3">
        <v>334</v>
      </c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>
        <v>194047</v>
      </c>
      <c r="EA26" s="3"/>
      <c r="EB26" s="3"/>
      <c r="EC26" s="3"/>
      <c r="ED26" s="3"/>
      <c r="EE26" s="3"/>
      <c r="EF26" s="3">
        <v>1728</v>
      </c>
      <c r="EG26" s="3"/>
      <c r="EH26" s="3"/>
      <c r="EI26" s="3"/>
      <c r="EJ26" s="3"/>
      <c r="EK26" s="3"/>
      <c r="EL26" s="3"/>
      <c r="EM26" s="3"/>
      <c r="EN26" s="3"/>
      <c r="EO26" s="3">
        <v>847435</v>
      </c>
      <c r="EP26" s="3"/>
      <c r="EQ26" s="3"/>
      <c r="ER26" s="3"/>
      <c r="ES26" s="3"/>
      <c r="ET26" s="3"/>
      <c r="EU26" s="3"/>
      <c r="EV26" s="3"/>
      <c r="EW26" s="3">
        <v>988</v>
      </c>
      <c r="EX26" s="3"/>
      <c r="EY26" s="3"/>
      <c r="EZ26" s="3">
        <v>8800</v>
      </c>
      <c r="FA26" s="3"/>
      <c r="FB26" s="3"/>
      <c r="FC26" s="3"/>
      <c r="FD26" s="3"/>
      <c r="FE26" s="3"/>
      <c r="FF26" s="3"/>
      <c r="FG26" s="3"/>
      <c r="FH26" s="3"/>
      <c r="FI26" s="3">
        <v>1618</v>
      </c>
      <c r="FJ26" s="3"/>
      <c r="FK26" s="3">
        <v>415</v>
      </c>
      <c r="FL26" s="3">
        <v>1078</v>
      </c>
      <c r="FM26" s="3"/>
      <c r="FN26" s="3"/>
      <c r="FO26" s="3"/>
      <c r="FP26" s="3"/>
      <c r="FQ26" s="3">
        <v>1292</v>
      </c>
      <c r="FR26" s="3"/>
      <c r="FS26" s="3"/>
      <c r="FT26" s="3">
        <v>14694</v>
      </c>
      <c r="FU26" s="3"/>
      <c r="FV26" s="3"/>
      <c r="FW26" s="3"/>
      <c r="FX26" s="3">
        <v>939</v>
      </c>
      <c r="FY26" s="3"/>
      <c r="FZ26" s="3"/>
      <c r="GA26" s="3"/>
      <c r="GB26" s="3"/>
      <c r="GC26" s="3"/>
      <c r="GD26" s="3"/>
      <c r="GE26" s="3"/>
      <c r="GF26" s="3"/>
      <c r="GG26" s="3"/>
      <c r="GH26" s="3">
        <v>392964</v>
      </c>
      <c r="GI26" s="3"/>
      <c r="GJ26" s="3">
        <v>1524</v>
      </c>
      <c r="GL26" s="26"/>
      <c r="GM26" s="28">
        <v>44924</v>
      </c>
      <c r="GN26" s="1">
        <f t="shared" si="9"/>
        <v>58</v>
      </c>
    </row>
    <row r="29" spans="1:196" x14ac:dyDescent="0.25">
      <c r="Q29" s="3"/>
      <c r="R29" s="3"/>
      <c r="S29" s="3"/>
      <c r="T29" s="3"/>
      <c r="U29" s="3"/>
      <c r="V29" s="3"/>
      <c r="W29" s="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DB29" s="14"/>
      <c r="DC29" s="14"/>
      <c r="DD29" s="14"/>
      <c r="DE29" s="14"/>
      <c r="DF29" s="14"/>
      <c r="DG29" s="14"/>
      <c r="DH29" s="14"/>
      <c r="DI29" s="14"/>
      <c r="DJ29" s="14"/>
      <c r="DK29" s="14"/>
      <c r="DL29" s="14"/>
      <c r="DM29" s="14"/>
      <c r="DN29" s="14"/>
      <c r="DO29" s="14"/>
      <c r="DP29" s="14"/>
      <c r="DQ29" s="14"/>
      <c r="DR29" s="14"/>
      <c r="DS29" s="14"/>
      <c r="DT29" s="14"/>
      <c r="DU29" s="14"/>
      <c r="DV29" s="14"/>
      <c r="DW29" s="14"/>
      <c r="DX29" s="14"/>
      <c r="DY29" s="14"/>
      <c r="DZ29" s="14"/>
      <c r="EA29" s="14"/>
      <c r="EB29" s="14"/>
      <c r="EC29" s="14"/>
      <c r="ED29" s="14"/>
      <c r="EE29" s="14"/>
      <c r="EF29" s="14"/>
      <c r="EG29" s="14"/>
      <c r="EH29" s="14"/>
      <c r="FQ29" s="14"/>
      <c r="FR29" s="14"/>
      <c r="FS29" s="14"/>
      <c r="FT29" s="14"/>
      <c r="FU29" s="14"/>
      <c r="FV29" s="14"/>
      <c r="FW29" s="14"/>
    </row>
    <row r="30" spans="1:196" x14ac:dyDescent="0.25">
      <c r="E30" s="3"/>
      <c r="X30" s="3"/>
      <c r="Y30" s="3"/>
      <c r="AD30" s="3"/>
      <c r="AE30" s="3"/>
      <c r="AF30" s="3"/>
      <c r="AG30" s="3"/>
      <c r="AH30" s="3"/>
      <c r="AI30" s="3"/>
      <c r="AJ30" s="3"/>
      <c r="AK30" s="3"/>
      <c r="AL30" s="15"/>
      <c r="AM30" s="15"/>
      <c r="AN30" s="15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CE30" s="12"/>
      <c r="CF30" s="12"/>
      <c r="CG30" s="12"/>
      <c r="CH30" s="12"/>
      <c r="CI30" s="12"/>
      <c r="CT30" s="3"/>
      <c r="CU30" s="3"/>
      <c r="CV30" s="3"/>
      <c r="CW30" s="3"/>
      <c r="CX30" s="3"/>
      <c r="DC30" s="3"/>
      <c r="DD30" s="3"/>
      <c r="DE30" s="3"/>
      <c r="DF30" s="3"/>
      <c r="DG30" s="3"/>
      <c r="DH30" s="3"/>
      <c r="DI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EG30" s="3"/>
      <c r="EH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</row>
    <row r="31" spans="1:196" x14ac:dyDescent="0.25">
      <c r="Q31" s="3"/>
      <c r="R31" s="3"/>
      <c r="S31" s="3"/>
      <c r="T31" s="3"/>
      <c r="U31" s="3"/>
      <c r="X31" s="3"/>
      <c r="Y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CE31" s="3"/>
      <c r="CF31" s="3"/>
      <c r="CG31" s="3"/>
      <c r="CH31" s="3"/>
      <c r="CJ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EY31" s="13"/>
      <c r="EZ31" s="13"/>
      <c r="FA31" s="13"/>
      <c r="FB31" s="13"/>
      <c r="FC31" s="13"/>
      <c r="FD31" s="13"/>
    </row>
    <row r="32" spans="1:196" x14ac:dyDescent="0.25">
      <c r="EY32" s="12"/>
      <c r="EZ32" s="12"/>
      <c r="FA32" s="12"/>
      <c r="FB32" s="12"/>
      <c r="FC32" s="12"/>
      <c r="FD32" s="12"/>
    </row>
  </sheetData>
  <sortState columnSort="1" ref="G1:CQ26">
    <sortCondition ref="G1:CQ1"/>
  </sortState>
  <conditionalFormatting sqref="Q20:FH26 Q18:CL18 CN18:FH18 HA17:IT17 FQ18:GK18 IW17:KH17 GF16:GK16 JS15:LA15 Q12:FH17 GG12:GK12 KG11:ML11 Q11:AZ11 BC11:CQ11 GS10:HW10 CS11:FH11 HY10:MZ10 Q10:FH10 Q8:BO9 CJ9:FH9 CJ8:GK8 Q7:CQ7 CS7:EF7 FJ9:GK11 FJ12:GE12 FJ16:GC16 FJ17:GK17 FJ18:FK18 FJ20:GJ26 FJ13:GK15 GO15:JQ15 GO17:GY17 GO14:LM14 GO13:LK13 GO11:KE11 GO10:GQ10 GO9:NR9 GO8:JE8 GO12:LY12 GO16:KM16 GO18:HK18">
    <cfRule type="expression" dxfId="13" priority="15">
      <formula>IF(Q7&gt;($D7-$E7)*$F7,TRUE,FALSE)</formula>
    </cfRule>
  </conditionalFormatting>
  <conditionalFormatting sqref="Q24:EH24">
    <cfRule type="expression" dxfId="12" priority="13">
      <formula>IF(Q24&gt;($D24-$E24)*$F24,TRUE,FALSE)</formula>
    </cfRule>
  </conditionalFormatting>
  <conditionalFormatting sqref="R24:EG24">
    <cfRule type="expression" dxfId="11" priority="12">
      <formula>IF(R24&gt;($D24-$E24)*$F24,TRUE,FALSE)</formula>
    </cfRule>
  </conditionalFormatting>
  <conditionalFormatting sqref="Q23:EH23">
    <cfRule type="expression" dxfId="10" priority="11">
      <formula>IF(Q23&gt;($D23-$E23)*$F23,TRUE,FALSE)</formula>
    </cfRule>
  </conditionalFormatting>
  <conditionalFormatting sqref="EI22:FH26 FJ22:FP26">
    <cfRule type="expression" dxfId="9" priority="10">
      <formula>IF(EI22&gt;($D22-$E22)*$F22,TRUE,FALSE)</formula>
    </cfRule>
  </conditionalFormatting>
  <conditionalFormatting sqref="Q21:FH21 FJ21:FP21">
    <cfRule type="expression" dxfId="8" priority="9">
      <formula>IF(Q21&gt;($D21-$E21)*$F21,TRUE,FALSE)</formula>
    </cfRule>
  </conditionalFormatting>
  <conditionalFormatting sqref="Q19:FH19 FJ19:GJ19">
    <cfRule type="expression" dxfId="7" priority="8">
      <formula>IF(Q19&gt;($D19-$E19)*$F19,TRUE,FALSE)</formula>
    </cfRule>
  </conditionalFormatting>
  <conditionalFormatting sqref="FI7">
    <cfRule type="expression" dxfId="6" priority="7">
      <formula>IF(FI7&gt;($D7-$E7)*$F7,TRUE,FALSE)</formula>
    </cfRule>
  </conditionalFormatting>
  <conditionalFormatting sqref="FI9:FI26">
    <cfRule type="expression" dxfId="5" priority="6">
      <formula>IF(FI9&gt;($D9-$E9)*$F9,TRUE,FALSE)</formula>
    </cfRule>
  </conditionalFormatting>
  <conditionalFormatting sqref="FV7">
    <cfRule type="expression" dxfId="4" priority="5">
      <formula>IF(FV7&gt;($D7-$E7)*$F7,TRUE,FALSE)</formula>
    </cfRule>
  </conditionalFormatting>
  <conditionalFormatting sqref="GG7">
    <cfRule type="expression" dxfId="3" priority="4">
      <formula>IF(GG7&gt;($D7-$E7)*$F7,TRUE,FALSE)</formula>
    </cfRule>
  </conditionalFormatting>
  <conditionalFormatting sqref="Q2:GK6">
    <cfRule type="expression" dxfId="2" priority="3">
      <formula>IF(Q2&gt;($D2-$E2)*$F2,TRUE,FALSE)</formula>
    </cfRule>
  </conditionalFormatting>
  <conditionalFormatting sqref="P2:P26">
    <cfRule type="expression" dxfId="1" priority="2">
      <formula>IF(P2&gt;($D2-$E2)*$F2,TRUE,FALSE)</formula>
    </cfRule>
  </conditionalFormatting>
  <conditionalFormatting sqref="GL2:GL26">
    <cfRule type="expression" dxfId="0" priority="1">
      <formula>IF(GL2&gt;($D2-$E2)*$F2,TRUE,FALSE)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נתונים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2025-12-17T20:51:52Z</dcterms:modified>
</cp:coreProperties>
</file>